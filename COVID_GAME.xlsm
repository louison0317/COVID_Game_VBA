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試算表遠距\"/>
    </mc:Choice>
  </mc:AlternateContent>
  <xr:revisionPtr revIDLastSave="0" documentId="13_ncr:1_{D1DDFD1A-2AFD-419A-84F7-F72A5C436950}" xr6:coauthVersionLast="47" xr6:coauthVersionMax="47" xr10:uidLastSave="{00000000-0000-0000-0000-000000000000}"/>
  <bookViews>
    <workbookView xWindow="-110" yWindow="-110" windowWidth="19420" windowHeight="10420" xr2:uid="{15ADC6DF-0940-42B6-8147-5C1683EEB6F2}"/>
  </bookViews>
  <sheets>
    <sheet name="遊戲介紹" sheetId="3" r:id="rId1"/>
    <sheet name="covid-19模擬遊戲" sheetId="1" r:id="rId2"/>
    <sheet name="清單表" sheetId="2" r:id="rId3"/>
  </sheets>
  <functionGroups builtInGroupCount="19"/>
  <calcPr calcId="181029"/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Y20" i="1" l="1"/>
  <c r="AZ20" i="1" s="1"/>
  <c r="BA20" i="1" s="1"/>
  <c r="BB20" i="1" s="1"/>
  <c r="BC20" i="1" s="1"/>
  <c r="BD20" i="1" s="1"/>
  <c r="BE20" i="1" s="1"/>
  <c r="BF20" i="1" s="1"/>
  <c r="BG20" i="1" s="1"/>
  <c r="BH20" i="1" s="1"/>
  <c r="AY16" i="1"/>
  <c r="AZ16" i="1" s="1"/>
  <c r="BA16" i="1" s="1"/>
  <c r="BB16" i="1" s="1"/>
  <c r="BC16" i="1" s="1"/>
  <c r="BD16" i="1" s="1"/>
  <c r="BE16" i="1" s="1"/>
  <c r="BF16" i="1" s="1"/>
  <c r="BG16" i="1" s="1"/>
  <c r="BH16" i="1" s="1"/>
  <c r="A1" i="1"/>
  <c r="B1" i="1" s="1"/>
  <c r="C1" i="1" s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P1" i="1" s="1"/>
  <c r="Q1" i="1" s="1"/>
  <c r="R1" i="1" s="1"/>
  <c r="S1" i="1" s="1"/>
  <c r="T1" i="1" s="1"/>
  <c r="U1" i="1" s="1"/>
  <c r="V1" i="1" s="1"/>
  <c r="W1" i="1" s="1"/>
  <c r="X1" i="1" s="1"/>
  <c r="Y1" i="1" s="1"/>
  <c r="Z1" i="1" s="1"/>
  <c r="AA1" i="1" s="1"/>
  <c r="AB1" i="1" s="1"/>
  <c r="AC1" i="1" s="1"/>
  <c r="AD1" i="1" s="1"/>
  <c r="AE1" i="1" s="1"/>
  <c r="AZ7" i="1"/>
  <c r="BA7" i="1" s="1"/>
  <c r="BB7" i="1" s="1"/>
  <c r="BC7" i="1" s="1"/>
  <c r="BD7" i="1" s="1"/>
  <c r="BE7" i="1" s="1"/>
  <c r="BF7" i="1" s="1"/>
  <c r="BG7" i="1" s="1"/>
  <c r="BH7" i="1" s="1"/>
</calcChain>
</file>

<file path=xl/sharedStrings.xml><?xml version="1.0" encoding="utf-8"?>
<sst xmlns="http://schemas.openxmlformats.org/spreadsheetml/2006/main" count="54" uniqueCount="45">
  <si>
    <t>警戒:</t>
    <phoneticPr fontId="1" type="noConversion"/>
  </si>
  <si>
    <t>外出率</t>
    <phoneticPr fontId="1" type="noConversion"/>
  </si>
  <si>
    <t>目前醫護人員</t>
    <phoneticPr fontId="1" type="noConversion"/>
  </si>
  <si>
    <t>健康人數:</t>
    <phoneticPr fontId="1" type="noConversion"/>
  </si>
  <si>
    <t>人</t>
    <phoneticPr fontId="1" type="noConversion"/>
  </si>
  <si>
    <t>染疫人數:</t>
    <phoneticPr fontId="1" type="noConversion"/>
  </si>
  <si>
    <t>死亡人數:</t>
    <phoneticPr fontId="1" type="noConversion"/>
  </si>
  <si>
    <t>第二級</t>
    <phoneticPr fontId="1" type="noConversion"/>
  </si>
  <si>
    <t>第</t>
    <phoneticPr fontId="1" type="noConversion"/>
  </si>
  <si>
    <t>周</t>
    <phoneticPr fontId="1" type="noConversion"/>
  </si>
  <si>
    <t xml:space="preserve"> </t>
    <phoneticPr fontId="1" type="noConversion"/>
  </si>
  <si>
    <t>歷史紀錄</t>
    <phoneticPr fontId="1" type="noConversion"/>
  </si>
  <si>
    <t>健康人數</t>
    <phoneticPr fontId="1" type="noConversion"/>
  </si>
  <si>
    <t>染疫人數</t>
    <phoneticPr fontId="1" type="noConversion"/>
  </si>
  <si>
    <t>死亡人數</t>
    <phoneticPr fontId="1" type="noConversion"/>
  </si>
  <si>
    <t>周次</t>
    <phoneticPr fontId="1" type="noConversion"/>
  </si>
  <si>
    <t>上周新增死亡</t>
  </si>
  <si>
    <t>上周新增染疫</t>
    <phoneticPr fontId="1" type="noConversion"/>
  </si>
  <si>
    <t>第一級</t>
    <phoneticPr fontId="1" type="noConversion"/>
  </si>
  <si>
    <t>第三級</t>
    <phoneticPr fontId="1" type="noConversion"/>
  </si>
  <si>
    <t>第四級</t>
    <phoneticPr fontId="1" type="noConversion"/>
  </si>
  <si>
    <t>第三級強化</t>
    <phoneticPr fontId="1" type="noConversion"/>
  </si>
  <si>
    <t>經濟指數</t>
    <phoneticPr fontId="1" type="noConversion"/>
  </si>
  <si>
    <t>目前醫院病患</t>
    <phoneticPr fontId="1" type="noConversion"/>
  </si>
  <si>
    <t>目前醫護比</t>
    <phoneticPr fontId="1" type="noConversion"/>
  </si>
  <si>
    <t>人民配合度</t>
    <phoneticPr fontId="1" type="noConversion"/>
  </si>
  <si>
    <t>出院</t>
    <phoneticPr fontId="1" type="noConversion"/>
  </si>
  <si>
    <t>第二級</t>
    <phoneticPr fontId="1" type="noConversion"/>
  </si>
  <si>
    <t>篩檢站</t>
    <phoneticPr fontId="1" type="noConversion"/>
  </si>
  <si>
    <t>最終得分</t>
    <phoneticPr fontId="1" type="noConversion"/>
  </si>
  <si>
    <t>分</t>
    <phoneticPr fontId="1" type="noConversion"/>
  </si>
  <si>
    <t>已用</t>
    <phoneticPr fontId="1" type="noConversion"/>
  </si>
  <si>
    <t>篩檢站</t>
    <phoneticPr fontId="1" type="noConversion"/>
  </si>
  <si>
    <t>間</t>
    <phoneticPr fontId="1" type="noConversion"/>
  </si>
  <si>
    <t>傳播範例</t>
    <phoneticPr fontId="1" type="noConversion"/>
  </si>
  <si>
    <t>感染地</t>
    <phoneticPr fontId="1" type="noConversion"/>
  </si>
  <si>
    <t>感染範圍</t>
    <phoneticPr fontId="1" type="noConversion"/>
  </si>
  <si>
    <t>第一次傳播</t>
    <phoneticPr fontId="1" type="noConversion"/>
  </si>
  <si>
    <t>第二次傳播</t>
    <phoneticPr fontId="1" type="noConversion"/>
  </si>
  <si>
    <t>(以黃色為中心再次九宮格判定)</t>
    <phoneticPr fontId="1" type="noConversion"/>
  </si>
  <si>
    <t>反覆重複後(最終感染範圍)</t>
    <phoneticPr fontId="1" type="noConversion"/>
  </si>
  <si>
    <t>(3x3)</t>
    <phoneticPr fontId="1" type="noConversion"/>
  </si>
  <si>
    <t>也是(3x3)</t>
    <phoneticPr fontId="1" type="noConversion"/>
  </si>
  <si>
    <t>(如果有向外感染)</t>
    <phoneticPr fontId="1" type="noConversion"/>
  </si>
  <si>
    <t>所以一個感染地周圍(5x5)內都可能感染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</si>
</sst>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_);[Red]\(0\)"/>
  </numFmts>
  <fonts count="20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36"/>
      <color theme="1"/>
      <name val="新細明體"/>
      <family val="1"/>
      <charset val="136"/>
      <scheme val="minor"/>
    </font>
    <font>
      <sz val="48"/>
      <color theme="1"/>
      <name val="新細明體"/>
      <family val="1"/>
      <charset val="136"/>
      <scheme val="minor"/>
    </font>
    <font>
      <sz val="48"/>
      <color theme="1"/>
      <name val="新細明體"/>
      <family val="2"/>
      <charset val="136"/>
      <scheme val="minor"/>
    </font>
    <font>
      <sz val="36"/>
      <color theme="1"/>
      <name val="新細明體"/>
      <family val="2"/>
      <charset val="136"/>
      <scheme val="minor"/>
    </font>
    <font>
      <sz val="12"/>
      <color rgb="FF000000"/>
      <name val="新細明體"/>
      <family val="1"/>
      <charset val="136"/>
    </font>
    <font>
      <sz val="48"/>
      <color rgb="FF000000"/>
      <name val="新細明體"/>
      <family val="1"/>
      <charset val="136"/>
    </font>
    <font>
      <sz val="12"/>
      <color rgb="FFFF0000"/>
      <name val="新細明體"/>
      <family val="2"/>
      <charset val="136"/>
      <scheme val="minor"/>
    </font>
    <font>
      <sz val="16"/>
      <color theme="1"/>
      <name val="新細明體"/>
      <family val="1"/>
      <charset val="136"/>
      <scheme val="minor"/>
    </font>
    <font>
      <sz val="20"/>
      <color theme="1"/>
      <name val="新細明體"/>
      <family val="1"/>
      <charset val="136"/>
      <scheme val="minor"/>
    </font>
    <font>
      <sz val="16"/>
      <color theme="1"/>
      <name val="新細明體"/>
      <family val="2"/>
      <charset val="136"/>
      <scheme val="minor"/>
    </font>
    <font>
      <sz val="20"/>
      <color theme="1"/>
      <name val="新細明體"/>
      <family val="2"/>
      <charset val="136"/>
      <scheme val="minor"/>
    </font>
    <font>
      <sz val="28"/>
      <color theme="1"/>
      <name val="新細明體"/>
      <family val="2"/>
      <charset val="136"/>
      <scheme val="minor"/>
    </font>
    <font>
      <sz val="12"/>
      <color theme="0"/>
      <name val="新細明體"/>
      <family val="2"/>
      <charset val="136"/>
      <scheme val="minor"/>
    </font>
    <font>
      <sz val="28"/>
      <color theme="1"/>
      <name val="新細明體"/>
      <family val="1"/>
      <charset val="136"/>
      <scheme val="minor"/>
    </font>
    <font>
      <sz val="12"/>
      <name val="新細明體"/>
      <family val="1"/>
      <charset val="136"/>
      <scheme val="minor"/>
    </font>
    <font>
      <b/>
      <sz val="28"/>
      <color theme="0"/>
      <name val="新細明體"/>
      <family val="1"/>
      <charset val="136"/>
      <scheme val="minor"/>
    </font>
    <font>
      <b/>
      <sz val="18"/>
      <color theme="1"/>
      <name val="新細明體"/>
      <family val="1"/>
      <charset val="136"/>
      <scheme val="minor"/>
    </font>
    <font>
      <b/>
      <sz val="20"/>
      <color theme="1"/>
      <name val="新細明體"/>
      <family val="1"/>
      <charset val="136"/>
      <scheme val="minor"/>
    </font>
  </fonts>
  <fills count="9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82CAEE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EE6089"/>
        <bgColor indexed="64"/>
      </patternFill>
    </fill>
    <fill>
      <patternFill patternType="solid">
        <fgColor theme="0" tint="-0.34998626667073579"/>
        <bgColor indexed="64"/>
      </patternFill>
    </fill>
  </fills>
  <borders count="2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ck">
        <color rgb="FFFF0000"/>
      </left>
      <right/>
      <top style="thick">
        <color rgb="FFFF0000"/>
      </top>
      <bottom/>
      <diagonal/>
    </border>
    <border>
      <left style="thick">
        <color rgb="FFFF0000"/>
      </left>
      <right style="medium">
        <color indexed="64"/>
      </right>
      <top/>
      <bottom/>
      <diagonal/>
    </border>
    <border>
      <left/>
      <right style="medium">
        <color indexed="64"/>
      </right>
      <top style="thick">
        <color rgb="FFFF0000"/>
      </top>
      <bottom/>
      <diagonal/>
    </border>
    <border>
      <left style="medium">
        <color indexed="64"/>
      </left>
      <right/>
      <top style="thick">
        <color rgb="FFFF0000"/>
      </top>
      <bottom style="medium">
        <color indexed="64"/>
      </bottom>
      <diagonal/>
    </border>
    <border>
      <left/>
      <right/>
      <top style="thick">
        <color rgb="FFFF0000"/>
      </top>
      <bottom style="medium">
        <color indexed="64"/>
      </bottom>
      <diagonal/>
    </border>
    <border>
      <left/>
      <right style="thick">
        <color rgb="FFFF0000"/>
      </right>
      <top/>
      <bottom style="thick">
        <color rgb="FFFF0000"/>
      </bottom>
      <diagonal/>
    </border>
    <border>
      <left/>
      <right style="thick">
        <color rgb="FFFF0000"/>
      </right>
      <top style="medium">
        <color indexed="64"/>
      </top>
      <bottom/>
      <diagonal/>
    </border>
    <border>
      <left style="thick">
        <color rgb="FFFF0000"/>
      </left>
      <right/>
      <top/>
      <bottom style="medium">
        <color indexed="64"/>
      </bottom>
      <diagonal/>
    </border>
    <border>
      <left/>
      <right style="thick">
        <color rgb="FFFF0000"/>
      </right>
      <top style="thick">
        <color rgb="FFFF0000"/>
      </top>
      <bottom style="medium">
        <color indexed="64"/>
      </bottom>
      <diagonal/>
    </border>
    <border>
      <left/>
      <right/>
      <top style="thick">
        <color rgb="FFFF0000"/>
      </top>
      <bottom/>
      <diagonal/>
    </border>
    <border>
      <left style="medium">
        <color indexed="64"/>
      </left>
      <right style="thick">
        <color rgb="FFFF0000"/>
      </right>
      <top/>
      <bottom/>
      <diagonal/>
    </border>
    <border>
      <left style="thick">
        <color rgb="FFFF0000"/>
      </left>
      <right/>
      <top/>
      <bottom/>
      <diagonal/>
    </border>
    <border>
      <left/>
      <right style="thick">
        <color rgb="FFFF0000"/>
      </right>
      <top/>
      <bottom/>
      <diagonal/>
    </border>
    <border>
      <left/>
      <right/>
      <top/>
      <bottom style="thick">
        <color rgb="FFFF0000"/>
      </bottom>
      <diagonal/>
    </border>
    <border>
      <left/>
      <right style="thick">
        <color rgb="FFFF0000"/>
      </right>
      <top style="thick">
        <color rgb="FFFF0000"/>
      </top>
      <bottom/>
      <diagonal/>
    </border>
  </borders>
  <cellStyleXfs count="1">
    <xf numFmtId="0" fontId="0" fillId="0" borderId="0">
      <alignment vertical="center"/>
    </xf>
  </cellStyleXfs>
  <cellXfs count="72">
    <xf numFmtId="0" fontId="0" fillId="0" borderId="0" xfId="0">
      <alignment vertical="center"/>
    </xf>
    <xf numFmtId="0" fontId="0" fillId="0" borderId="0" xfId="0" applyFill="1">
      <alignment vertical="center"/>
    </xf>
    <xf numFmtId="0" fontId="0" fillId="0" borderId="0" xfId="0" applyAlignment="1">
      <alignment vertical="center"/>
    </xf>
    <xf numFmtId="0" fontId="11" fillId="0" borderId="0" xfId="0" applyFont="1">
      <alignment vertical="center"/>
    </xf>
    <xf numFmtId="0" fontId="10" fillId="0" borderId="0" xfId="0" applyFont="1" applyAlignment="1">
      <alignment vertical="center"/>
    </xf>
    <xf numFmtId="0" fontId="12" fillId="0" borderId="0" xfId="0" applyFont="1" applyAlignment="1">
      <alignment vertical="center"/>
    </xf>
    <xf numFmtId="0" fontId="0" fillId="6" borderId="0" xfId="0" applyFill="1">
      <alignment vertical="center"/>
    </xf>
    <xf numFmtId="0" fontId="11" fillId="0" borderId="0" xfId="0" applyFont="1" applyAlignment="1">
      <alignment vertical="center"/>
    </xf>
    <xf numFmtId="0" fontId="9" fillId="0" borderId="0" xfId="0" applyFont="1" applyAlignment="1">
      <alignment vertical="center"/>
    </xf>
    <xf numFmtId="0" fontId="2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10" fontId="13" fillId="0" borderId="0" xfId="0" applyNumberFormat="1" applyFont="1" applyAlignment="1">
      <alignment horizontal="center" vertical="center"/>
    </xf>
    <xf numFmtId="9" fontId="2" fillId="0" borderId="0" xfId="0" applyNumberFormat="1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8" borderId="0" xfId="0" applyFont="1" applyFill="1" applyAlignment="1">
      <alignment horizontal="center" vertical="center"/>
    </xf>
    <xf numFmtId="176" fontId="3" fillId="8" borderId="0" xfId="0" applyNumberFormat="1" applyFont="1" applyFill="1" applyAlignment="1">
      <alignment horizontal="center" vertical="center"/>
    </xf>
    <xf numFmtId="0" fontId="4" fillId="8" borderId="0" xfId="0" applyFont="1" applyFill="1" applyAlignment="1">
      <alignment horizontal="center" vertical="center"/>
    </xf>
    <xf numFmtId="0" fontId="5" fillId="7" borderId="0" xfId="0" applyFont="1" applyFill="1" applyAlignment="1">
      <alignment horizontal="center" vertical="center"/>
    </xf>
    <xf numFmtId="0" fontId="5" fillId="4" borderId="0" xfId="0" applyFont="1" applyFill="1" applyAlignment="1">
      <alignment horizontal="center" vertical="center"/>
    </xf>
    <xf numFmtId="176" fontId="2" fillId="0" borderId="0" xfId="0" applyNumberFormat="1" applyFont="1" applyAlignment="1">
      <alignment horizontal="center" vertical="center"/>
    </xf>
    <xf numFmtId="176" fontId="5" fillId="5" borderId="0" xfId="0" applyNumberFormat="1" applyFont="1" applyFill="1" applyAlignment="1">
      <alignment horizontal="center" vertical="center"/>
    </xf>
    <xf numFmtId="0" fontId="5" fillId="5" borderId="0" xfId="0" applyFont="1" applyFill="1" applyAlignment="1">
      <alignment horizontal="center" vertical="center"/>
    </xf>
    <xf numFmtId="0" fontId="5" fillId="6" borderId="0" xfId="0" applyFont="1" applyFill="1" applyAlignment="1">
      <alignment horizontal="center" vertical="center"/>
    </xf>
    <xf numFmtId="176" fontId="5" fillId="6" borderId="0" xfId="0" applyNumberFormat="1" applyFont="1" applyFill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9" fontId="5" fillId="0" borderId="0" xfId="0" applyNumberFormat="1" applyFont="1" applyAlignment="1">
      <alignment horizontal="center" vertical="center"/>
    </xf>
    <xf numFmtId="176" fontId="5" fillId="4" borderId="0" xfId="0" applyNumberFormat="1" applyFont="1" applyFill="1" applyAlignment="1">
      <alignment horizontal="center" vertical="center"/>
    </xf>
    <xf numFmtId="0" fontId="0" fillId="0" borderId="0" xfId="0" applyFont="1">
      <alignment vertical="center"/>
    </xf>
    <xf numFmtId="0" fontId="15" fillId="0" borderId="0" xfId="0" applyFont="1" applyAlignment="1">
      <alignment horizontal="center" vertical="center"/>
    </xf>
    <xf numFmtId="10" fontId="5" fillId="0" borderId="0" xfId="0" applyNumberFormat="1" applyFont="1" applyFill="1" applyBorder="1" applyAlignment="1">
      <alignment horizontal="center" vertical="center"/>
    </xf>
    <xf numFmtId="0" fontId="16" fillId="4" borderId="1" xfId="0" applyFont="1" applyFill="1" applyBorder="1">
      <alignment vertical="center"/>
    </xf>
    <xf numFmtId="0" fontId="16" fillId="3" borderId="1" xfId="0" applyFont="1" applyFill="1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0" xfId="0" applyBorder="1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4" borderId="0" xfId="0" applyFill="1" applyBorder="1">
      <alignment vertical="center"/>
    </xf>
    <xf numFmtId="0" fontId="17" fillId="4" borderId="0" xfId="0" applyFont="1" applyFill="1" applyAlignment="1">
      <alignment horizontal="center" vertical="center"/>
    </xf>
    <xf numFmtId="0" fontId="14" fillId="0" borderId="0" xfId="0" applyFont="1" applyFill="1" applyBorder="1">
      <alignment vertical="center"/>
    </xf>
    <xf numFmtId="0" fontId="10" fillId="3" borderId="0" xfId="0" applyFont="1" applyFill="1" applyAlignment="1">
      <alignment horizontal="center" vertical="center"/>
    </xf>
    <xf numFmtId="0" fontId="10" fillId="3" borderId="0" xfId="0" applyFont="1" applyFill="1" applyBorder="1" applyAlignment="1">
      <alignment horizontal="center" vertical="center"/>
    </xf>
    <xf numFmtId="0" fontId="8" fillId="4" borderId="0" xfId="0" applyFont="1" applyFill="1">
      <alignment vertical="center"/>
    </xf>
    <xf numFmtId="0" fontId="0" fillId="0" borderId="0" xfId="0" applyFill="1" applyBorder="1">
      <alignment vertical="center"/>
    </xf>
    <xf numFmtId="0" fontId="8" fillId="4" borderId="0" xfId="0" applyFont="1" applyFill="1" applyBorder="1">
      <alignment vertical="center"/>
    </xf>
    <xf numFmtId="0" fontId="0" fillId="6" borderId="2" xfId="0" applyFill="1" applyBorder="1">
      <alignment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3" xfId="0" applyBorder="1">
      <alignment vertical="center"/>
    </xf>
    <xf numFmtId="0" fontId="0" fillId="0" borderId="14" xfId="0" applyBorder="1">
      <alignment vertical="center"/>
    </xf>
    <xf numFmtId="0" fontId="0" fillId="4" borderId="15" xfId="0" applyFill="1" applyBorder="1">
      <alignment vertical="center"/>
    </xf>
    <xf numFmtId="0" fontId="0" fillId="0" borderId="16" xfId="0" applyBorder="1">
      <alignment vertical="center"/>
    </xf>
    <xf numFmtId="0" fontId="0" fillId="0" borderId="17" xfId="0" applyBorder="1">
      <alignment vertical="center"/>
    </xf>
    <xf numFmtId="0" fontId="0" fillId="0" borderId="18" xfId="0" applyBorder="1">
      <alignment vertical="center"/>
    </xf>
    <xf numFmtId="0" fontId="0" fillId="0" borderId="19" xfId="0" applyBorder="1">
      <alignment vertical="center"/>
    </xf>
    <xf numFmtId="0" fontId="0" fillId="0" borderId="20" xfId="0" applyBorder="1">
      <alignment vertical="center"/>
    </xf>
    <xf numFmtId="0" fontId="0" fillId="0" borderId="21" xfId="0" applyBorder="1">
      <alignment vertical="center"/>
    </xf>
    <xf numFmtId="0" fontId="0" fillId="0" borderId="22" xfId="0" applyBorder="1">
      <alignment vertical="center"/>
    </xf>
    <xf numFmtId="0" fontId="0" fillId="0" borderId="23" xfId="0" applyBorder="1">
      <alignment vertical="center"/>
    </xf>
    <xf numFmtId="0" fontId="0" fillId="0" borderId="24" xfId="0" applyBorder="1">
      <alignment vertical="center"/>
    </xf>
    <xf numFmtId="0" fontId="0" fillId="3" borderId="0" xfId="0" applyFill="1">
      <alignment vertical="center"/>
    </xf>
    <xf numFmtId="0" fontId="12" fillId="3" borderId="0" xfId="0" applyFont="1" applyFill="1" applyAlignment="1">
      <alignment horizontal="center" vertical="center"/>
    </xf>
    <xf numFmtId="0" fontId="18" fillId="0" borderId="0" xfId="0" applyFont="1" applyFill="1" applyAlignment="1">
      <alignment horizontal="center" vertical="center"/>
    </xf>
    <xf numFmtId="0" fontId="19" fillId="3" borderId="0" xfId="0" applyFont="1" applyFill="1" applyAlignment="1">
      <alignment horizontal="center" vertical="center"/>
    </xf>
    <xf numFmtId="0" fontId="18" fillId="0" borderId="0" xfId="0" applyFont="1" applyFill="1" applyAlignment="1">
      <alignment vertical="center"/>
    </xf>
  </cellXfs>
  <cellStyles count="1">
    <cellStyle name="一般" xfId="0" builtinId="0"/>
  </cellStyles>
  <dxfs count="0"/>
  <tableStyles count="0" defaultTableStyle="TableStyleMedium2" defaultPivotStyle="PivotStyleLight16"/>
  <colors>
    <mruColors>
      <color rgb="FFFF0909"/>
      <color rgb="FFCD77FD"/>
      <color rgb="FF82CAEE"/>
      <color rgb="FFFEC4BE"/>
      <color rgb="FFEE608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'covid-19模擬遊戲'!$AU$17:$AW$17</c:f>
              <c:strCache>
                <c:ptCount val="3"/>
                <c:pt idx="0">
                  <c:v>上周新增染疫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'covid-19模擬遊戲'!$AX$16:$BH$16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cat>
          <c:val>
            <c:numRef>
              <c:f>'covid-19模擬遊戲'!$AX$17:$BH$17</c:f>
              <c:numCache>
                <c:formatCode>General</c:formatCode>
                <c:ptCount val="11"/>
                <c:pt idx="0">
                  <c:v>294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91-4F91-8F79-855E0E1A36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56684824"/>
        <c:axId val="556683512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'covid-19模擬遊戲'!$AU$18:$AW$18</c15:sqref>
                        </c15:formulaRef>
                      </c:ext>
                    </c:extLst>
                    <c:strCache>
                      <c:ptCount val="3"/>
                      <c:pt idx="0">
                        <c:v>上周新增染疫</c:v>
                      </c:pt>
                    </c:strCache>
                  </c:strRef>
                </c:tx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'covid-19模擬遊戲'!$AX$16:$BH$16</c15:sqref>
                        </c15:formulaRef>
                      </c:ext>
                    </c:extLst>
                    <c:numCache>
                      <c:formatCode>General</c:formatCode>
                      <c:ptCount val="11"/>
                      <c:pt idx="0">
                        <c:v>0</c:v>
                      </c:pt>
                      <c:pt idx="1">
                        <c:v>1</c:v>
                      </c:pt>
                      <c:pt idx="2">
                        <c:v>2</c:v>
                      </c:pt>
                      <c:pt idx="3">
                        <c:v>3</c:v>
                      </c:pt>
                      <c:pt idx="4">
                        <c:v>4</c:v>
                      </c:pt>
                      <c:pt idx="5">
                        <c:v>5</c:v>
                      </c:pt>
                      <c:pt idx="6">
                        <c:v>6</c:v>
                      </c:pt>
                      <c:pt idx="7">
                        <c:v>7</c:v>
                      </c:pt>
                      <c:pt idx="8">
                        <c:v>8</c:v>
                      </c:pt>
                      <c:pt idx="9">
                        <c:v>9</c:v>
                      </c:pt>
                      <c:pt idx="10">
                        <c:v>10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'covid-19模擬遊戲'!$AX$18:$BH$18</c15:sqref>
                        </c15:formulaRef>
                      </c:ext>
                    </c:extLst>
                    <c:numCache>
                      <c:formatCode>General</c:formatCode>
                      <c:ptCount val="11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F291-4F91-8F79-855E0E1A3609}"/>
                  </c:ext>
                </c:extLst>
              </c15:ser>
            </c15:filteredBarSeries>
          </c:ext>
        </c:extLst>
      </c:barChart>
      <c:catAx>
        <c:axId val="5566848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556683512"/>
        <c:crosses val="autoZero"/>
        <c:auto val="1"/>
        <c:lblAlgn val="ctr"/>
        <c:lblOffset val="100"/>
        <c:noMultiLvlLbl val="0"/>
      </c:catAx>
      <c:valAx>
        <c:axId val="556683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5566848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'covid-19模擬遊戲'!$AU$21:$AW$21</c:f>
              <c:strCache>
                <c:ptCount val="3"/>
                <c:pt idx="0">
                  <c:v>上周新增死亡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'covid-19模擬遊戲'!$AX$20:$BH$20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cat>
          <c:val>
            <c:numRef>
              <c:f>'covid-19模擬遊戲'!$AX$21:$BH$21</c:f>
              <c:numCache>
                <c:formatCode>General</c:formatCode>
                <c:ptCount val="11"/>
                <c:pt idx="0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D3-42D4-9E76-B05AA64FBD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77761104"/>
        <c:axId val="477761432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'covid-19模擬遊戲'!$AU$22:$AW$22</c15:sqref>
                        </c15:formulaRef>
                      </c:ext>
                    </c:extLst>
                    <c:strCache>
                      <c:ptCount val="3"/>
                      <c:pt idx="0">
                        <c:v>上周新增死亡</c:v>
                      </c:pt>
                    </c:strCache>
                  </c:strRef>
                </c:tx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'covid-19模擬遊戲'!$AX$20:$BH$20</c15:sqref>
                        </c15:formulaRef>
                      </c:ext>
                    </c:extLst>
                    <c:numCache>
                      <c:formatCode>General</c:formatCode>
                      <c:ptCount val="11"/>
                      <c:pt idx="0">
                        <c:v>0</c:v>
                      </c:pt>
                      <c:pt idx="1">
                        <c:v>1</c:v>
                      </c:pt>
                      <c:pt idx="2">
                        <c:v>2</c:v>
                      </c:pt>
                      <c:pt idx="3">
                        <c:v>3</c:v>
                      </c:pt>
                      <c:pt idx="4">
                        <c:v>4</c:v>
                      </c:pt>
                      <c:pt idx="5">
                        <c:v>5</c:v>
                      </c:pt>
                      <c:pt idx="6">
                        <c:v>6</c:v>
                      </c:pt>
                      <c:pt idx="7">
                        <c:v>7</c:v>
                      </c:pt>
                      <c:pt idx="8">
                        <c:v>8</c:v>
                      </c:pt>
                      <c:pt idx="9">
                        <c:v>9</c:v>
                      </c:pt>
                      <c:pt idx="10">
                        <c:v>10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'covid-19模擬遊戲'!$AX$22:$BH$22</c15:sqref>
                        </c15:formulaRef>
                      </c:ext>
                    </c:extLst>
                    <c:numCache>
                      <c:formatCode>General</c:formatCode>
                      <c:ptCount val="11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E4D3-42D4-9E76-B05AA64FBDC6}"/>
                  </c:ext>
                </c:extLst>
              </c15:ser>
            </c15:filteredBarSeries>
          </c:ext>
        </c:extLst>
      </c:barChart>
      <c:catAx>
        <c:axId val="4777611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477761432"/>
        <c:crosses val="autoZero"/>
        <c:auto val="1"/>
        <c:lblAlgn val="ctr"/>
        <c:lblOffset val="100"/>
        <c:noMultiLvlLbl val="0"/>
      </c:catAx>
      <c:valAx>
        <c:axId val="477761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477761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184149</xdr:colOff>
      <xdr:row>0</xdr:row>
      <xdr:rowOff>63500</xdr:rowOff>
    </xdr:from>
    <xdr:to>
      <xdr:col>11</xdr:col>
      <xdr:colOff>304800</xdr:colOff>
      <xdr:row>29</xdr:row>
      <xdr:rowOff>95250</xdr:rowOff>
    </xdr:to>
    <xdr:sp macro="" textlink="">
      <xdr:nvSpPr>
        <xdr:cNvPr id="2" name="文字方塊 1">
          <a:extLst>
            <a:ext uri="{FF2B5EF4-FFF2-40B4-BE49-F238E27FC236}">
              <a16:creationId xmlns:a16="http://schemas.microsoft.com/office/drawing/2014/main" id="{8D60B9E8-1494-4431-837C-233E24FEBE9D}"/>
            </a:ext>
          </a:extLst>
        </xdr:cNvPr>
        <xdr:cNvSpPr txBox="1"/>
      </xdr:nvSpPr>
      <xdr:spPr>
        <a:xfrm>
          <a:off x="184149" y="63500"/>
          <a:ext cx="6826251" cy="6407150"/>
        </a:xfrm>
        <a:prstGeom prst="rect">
          <a:avLst/>
        </a:prstGeom>
        <a:solidFill>
          <a:srgbClr val="00B0F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TW" altLang="en-US" sz="3200"/>
            <a:t>遊戲背景介紹</a:t>
          </a:r>
          <a:r>
            <a:rPr lang="en-US" altLang="zh-TW" sz="3200"/>
            <a:t>:</a:t>
          </a:r>
        </a:p>
        <a:p>
          <a:r>
            <a:rPr lang="zh-TW" altLang="en-US" sz="3200"/>
            <a:t>    你是一位市長，而你所管轄的城市發生了</a:t>
          </a:r>
          <a:r>
            <a:rPr lang="en-US" altLang="zh-TW" sz="3200" b="1">
              <a:solidFill>
                <a:srgbClr val="FF0000"/>
              </a:solidFill>
            </a:rPr>
            <a:t>covid-19</a:t>
          </a:r>
          <a:r>
            <a:rPr lang="zh-TW" altLang="en-US" sz="3200"/>
            <a:t>的感染，你需要透過調整「</a:t>
          </a:r>
          <a:r>
            <a:rPr lang="zh-TW" altLang="zh-TW" sz="32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警戒等級</a:t>
          </a:r>
          <a:r>
            <a:rPr lang="zh-TW" altLang="en-US" sz="3200"/>
            <a:t>」、</a:t>
          </a:r>
          <a:r>
            <a:rPr lang="zh-TW" altLang="zh-TW" sz="32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建立「篩檢站」</a:t>
          </a:r>
          <a:r>
            <a:rPr lang="zh-TW" altLang="en-US" sz="3200"/>
            <a:t>等措施來防止疫情爆發。</a:t>
          </a:r>
          <a:endParaRPr lang="en-US" altLang="zh-TW" sz="3200"/>
        </a:p>
        <a:p>
          <a:r>
            <a:rPr lang="zh-TW" altLang="en-US" sz="3200"/>
            <a:t>    但相對應的措施在防堵疫情之虞都會</a:t>
          </a:r>
          <a:r>
            <a:rPr lang="zh-TW" altLang="en-US" sz="3200" b="1">
              <a:solidFill>
                <a:srgbClr val="FF0000"/>
              </a:solidFill>
            </a:rPr>
            <a:t>造成一些其他的影響</a:t>
          </a:r>
          <a:r>
            <a:rPr lang="zh-TW" altLang="en-US" sz="3200"/>
            <a:t>，你必須多方衡量之後在這十周內不停根據當時的狀況做出</a:t>
          </a:r>
          <a:r>
            <a:rPr lang="zh-TW" altLang="en-US" sz="3200" b="1">
              <a:solidFill>
                <a:srgbClr val="FF0000"/>
              </a:solidFill>
            </a:rPr>
            <a:t>最合適的政策</a:t>
          </a:r>
          <a:r>
            <a:rPr lang="zh-TW" altLang="en-US" sz="3200"/>
            <a:t>，來保護你的市民與城市經濟。</a:t>
          </a:r>
          <a:endParaRPr lang="en-US" altLang="zh-TW" sz="3200"/>
        </a:p>
        <a:p>
          <a:r>
            <a:rPr lang="zh-TW" altLang="en-US" sz="3200"/>
            <a:t>最後會根據你的表現來獲得</a:t>
          </a:r>
          <a:r>
            <a:rPr lang="zh-TW" altLang="en-US" sz="3200" b="1">
              <a:solidFill>
                <a:srgbClr val="FF0000"/>
              </a:solidFill>
            </a:rPr>
            <a:t>最終得分</a:t>
          </a:r>
          <a:endParaRPr lang="en-US" altLang="zh-TW" sz="3200" b="1">
            <a:solidFill>
              <a:srgbClr val="FF0000"/>
            </a:solidFill>
          </a:endParaRPr>
        </a:p>
        <a:p>
          <a:endParaRPr lang="en-US" altLang="zh-TW" sz="3200"/>
        </a:p>
        <a:p>
          <a:r>
            <a:rPr lang="zh-TW" altLang="en-US" sz="1100"/>
            <a:t>        </a:t>
          </a:r>
          <a:endParaRPr lang="en-US" altLang="zh-TW" sz="1100"/>
        </a:p>
      </xdr:txBody>
    </xdr:sp>
    <xdr:clientData/>
  </xdr:twoCellAnchor>
  <xdr:twoCellAnchor>
    <xdr:from>
      <xdr:col>11</xdr:col>
      <xdr:colOff>442383</xdr:colOff>
      <xdr:row>0</xdr:row>
      <xdr:rowOff>84666</xdr:rowOff>
    </xdr:from>
    <xdr:to>
      <xdr:col>20</xdr:col>
      <xdr:colOff>177800</xdr:colOff>
      <xdr:row>45</xdr:row>
      <xdr:rowOff>38100</xdr:rowOff>
    </xdr:to>
    <xdr:sp macro="" textlink="">
      <xdr:nvSpPr>
        <xdr:cNvPr id="3" name="文字方塊 2">
          <a:extLst>
            <a:ext uri="{FF2B5EF4-FFF2-40B4-BE49-F238E27FC236}">
              <a16:creationId xmlns:a16="http://schemas.microsoft.com/office/drawing/2014/main" id="{8DF7F1E3-D5E0-4BDE-9F38-58777A96F8D8}"/>
            </a:ext>
          </a:extLst>
        </xdr:cNvPr>
        <xdr:cNvSpPr txBox="1"/>
      </xdr:nvSpPr>
      <xdr:spPr>
        <a:xfrm>
          <a:off x="7147983" y="84666"/>
          <a:ext cx="5221817" cy="9821334"/>
        </a:xfrm>
        <a:prstGeom prst="rect">
          <a:avLst/>
        </a:prstGeom>
        <a:solidFill>
          <a:srgbClr val="FEC4BE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TW" altLang="en-US" sz="3200"/>
            <a:t>玩法介紹</a:t>
          </a:r>
          <a:r>
            <a:rPr lang="en-US" altLang="zh-TW" sz="3200"/>
            <a:t>:</a:t>
          </a:r>
        </a:p>
        <a:p>
          <a:r>
            <a:rPr lang="zh-TW" altLang="en-US" sz="3200"/>
            <a:t>     遊戲一開始，第</a:t>
          </a:r>
          <a:r>
            <a:rPr lang="en-US" altLang="zh-TW" sz="3200"/>
            <a:t>0</a:t>
          </a:r>
          <a:r>
            <a:rPr lang="zh-TW" altLang="en-US" sz="3200"/>
            <a:t>周會發生</a:t>
          </a:r>
          <a:r>
            <a:rPr lang="zh-TW" altLang="en-US" sz="3200" b="1"/>
            <a:t>隨機三處感染</a:t>
          </a:r>
          <a:r>
            <a:rPr lang="zh-TW" altLang="en-US" sz="3200" b="0"/>
            <a:t>。</a:t>
          </a:r>
          <a:endParaRPr lang="en-US" altLang="zh-TW" sz="3200" b="0"/>
        </a:p>
        <a:p>
          <a:r>
            <a:rPr lang="zh-TW" altLang="en-US" sz="3200"/>
            <a:t>初步感染地</a:t>
          </a:r>
          <a:r>
            <a:rPr lang="en-US" altLang="zh-TW" sz="3200"/>
            <a:t>(</a:t>
          </a:r>
          <a:r>
            <a:rPr lang="zh-TW" altLang="en-US" sz="3200"/>
            <a:t>橘色，首次感染</a:t>
          </a:r>
          <a:r>
            <a:rPr lang="en-US" altLang="zh-TW" sz="3200"/>
            <a:t>)</a:t>
          </a:r>
          <a:r>
            <a:rPr lang="zh-TW" altLang="en-US" sz="3200"/>
            <a:t>與疫區</a:t>
          </a:r>
          <a:r>
            <a:rPr lang="en-US" altLang="zh-TW" sz="3200"/>
            <a:t>(</a:t>
          </a:r>
          <a:r>
            <a:rPr lang="zh-TW" altLang="en-US" sz="3200"/>
            <a:t>紅色，第二次感染</a:t>
          </a:r>
          <a:r>
            <a:rPr lang="en-US" altLang="zh-TW" sz="3200"/>
            <a:t>)</a:t>
          </a:r>
          <a:r>
            <a:rPr lang="zh-TW" altLang="en-US" sz="3200"/>
            <a:t>都有可能會對周圍造成感染，且被感染的地方會再次向外感染，但是</a:t>
          </a:r>
          <a:r>
            <a:rPr lang="zh-TW" altLang="en-US" sz="3200" b="1">
              <a:solidFill>
                <a:srgbClr val="FF0000"/>
              </a:solidFill>
            </a:rPr>
            <a:t>最多兩次</a:t>
          </a:r>
          <a:r>
            <a:rPr lang="zh-TW" altLang="en-US" sz="3200"/>
            <a:t>，不會無限感染。</a:t>
          </a:r>
          <a:endParaRPr lang="en-US" altLang="zh-TW" sz="3200"/>
        </a:p>
        <a:p>
          <a:r>
            <a:rPr lang="en-US" altLang="zh-TW" sz="3200" b="1" i="0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</a:t>
          </a:r>
          <a:r>
            <a:rPr lang="zh-TW" altLang="en-US" sz="3200" b="1" i="0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感染機率根據當周的外出率</a:t>
          </a:r>
          <a:r>
            <a:rPr lang="en-US" altLang="zh-TW" sz="3200" b="1" i="0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zh-TW" altLang="en-US" sz="3200" b="1" i="0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警戒等級與民眾配合度</a:t>
          </a:r>
          <a:r>
            <a:rPr lang="en-US" altLang="zh-TW" sz="3200" b="1" i="0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r>
            <a:rPr lang="zh-TW" altLang="en-US" sz="3200" b="1" i="0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。</a:t>
          </a:r>
          <a:endParaRPr lang="en-US" altLang="zh-TW" sz="1100" b="1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zh-TW" altLang="en-US" sz="3200"/>
            <a:t>     每周一開始都可以決定建立篩檢站的範圍，如果傳播地有篩建站，向外傳播的機率會</a:t>
          </a:r>
          <a:r>
            <a:rPr lang="zh-TW" altLang="en-US" sz="3200" b="1">
              <a:solidFill>
                <a:srgbClr val="FF0000"/>
              </a:solidFill>
            </a:rPr>
            <a:t>減半</a:t>
          </a:r>
          <a:r>
            <a:rPr lang="zh-TW" altLang="en-US" sz="3200"/>
            <a:t>，而被傳染地如果也有篩檢站，感染機率會在</a:t>
          </a:r>
          <a:r>
            <a:rPr lang="zh-TW" altLang="en-US" sz="3200" b="1">
              <a:solidFill>
                <a:srgbClr val="FF0000"/>
              </a:solidFill>
            </a:rPr>
            <a:t>再次減半</a:t>
          </a:r>
          <a:r>
            <a:rPr lang="zh-TW" altLang="en-US" sz="3200"/>
            <a:t>，所以兩邊都有篩檢站的話，機率會是</a:t>
          </a:r>
          <a:r>
            <a:rPr lang="en-US" altLang="zh-TW" sz="3200"/>
            <a:t>1/4 !</a:t>
          </a:r>
        </a:p>
        <a:p>
          <a:r>
            <a:rPr lang="zh-TW" altLang="en-US" sz="1100"/>
            <a:t>        </a:t>
          </a:r>
          <a:endParaRPr lang="en-US" altLang="zh-TW" sz="1100"/>
        </a:p>
      </xdr:txBody>
    </xdr:sp>
    <xdr:clientData/>
  </xdr:twoCellAnchor>
  <xdr:twoCellAnchor>
    <xdr:from>
      <xdr:col>33</xdr:col>
      <xdr:colOff>213783</xdr:colOff>
      <xdr:row>0</xdr:row>
      <xdr:rowOff>148166</xdr:rowOff>
    </xdr:from>
    <xdr:to>
      <xdr:col>43</xdr:col>
      <xdr:colOff>63500</xdr:colOff>
      <xdr:row>44</xdr:row>
      <xdr:rowOff>190500</xdr:rowOff>
    </xdr:to>
    <xdr:sp macro="" textlink="">
      <xdr:nvSpPr>
        <xdr:cNvPr id="4" name="文字方塊 3">
          <a:extLst>
            <a:ext uri="{FF2B5EF4-FFF2-40B4-BE49-F238E27FC236}">
              <a16:creationId xmlns:a16="http://schemas.microsoft.com/office/drawing/2014/main" id="{FFB7C4E0-BC8C-4C92-8AD4-D8816301928F}"/>
            </a:ext>
          </a:extLst>
        </xdr:cNvPr>
        <xdr:cNvSpPr txBox="1"/>
      </xdr:nvSpPr>
      <xdr:spPr>
        <a:xfrm>
          <a:off x="17581033" y="148166"/>
          <a:ext cx="5882217" cy="9821334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zh-TW" sz="2000" b="1"/>
            <a:t>【</a:t>
          </a:r>
          <a:r>
            <a:rPr lang="zh-TW" altLang="en-US" sz="2000" b="1"/>
            <a:t>格子顏色</a:t>
          </a:r>
          <a:r>
            <a:rPr lang="en-US" altLang="zh-TW" sz="2000" b="1"/>
            <a:t>】</a:t>
          </a:r>
        </a:p>
        <a:p>
          <a:endParaRPr lang="en-US" altLang="zh-TW" sz="2000"/>
        </a:p>
        <a:p>
          <a:r>
            <a:rPr lang="zh-TW" altLang="en-US" sz="2000"/>
            <a:t>一格有</a:t>
          </a:r>
          <a:r>
            <a:rPr lang="en-US" altLang="zh-TW" sz="2000"/>
            <a:t>100</a:t>
          </a:r>
          <a:r>
            <a:rPr lang="zh-TW" altLang="en-US" sz="2000"/>
            <a:t>個健康的人</a:t>
          </a:r>
        </a:p>
        <a:p>
          <a:endParaRPr lang="zh-TW" altLang="en-US" sz="2000"/>
        </a:p>
        <a:p>
          <a:r>
            <a:rPr lang="zh-TW" altLang="en-US" sz="2000"/>
            <a:t>藍色</a:t>
          </a:r>
          <a:r>
            <a:rPr lang="en-US" altLang="zh-TW" sz="2000"/>
            <a:t>(</a:t>
          </a:r>
          <a:r>
            <a:rPr lang="zh-TW" altLang="en-US" sz="2000"/>
            <a:t>未感染</a:t>
          </a:r>
          <a:r>
            <a:rPr lang="en-US" altLang="zh-TW" sz="2000"/>
            <a:t>) =&gt; 100</a:t>
          </a:r>
          <a:r>
            <a:rPr lang="zh-TW" altLang="en-US" sz="2000"/>
            <a:t>個健康的人</a:t>
          </a:r>
        </a:p>
        <a:p>
          <a:r>
            <a:rPr lang="zh-TW" altLang="en-US" sz="2000"/>
            <a:t>黃色</a:t>
          </a:r>
          <a:r>
            <a:rPr lang="en-US" altLang="zh-TW" sz="2000"/>
            <a:t>(</a:t>
          </a:r>
          <a:r>
            <a:rPr lang="zh-TW" altLang="en-US" sz="2000"/>
            <a:t>初步感染地</a:t>
          </a:r>
          <a:r>
            <a:rPr lang="en-US" altLang="zh-TW" sz="2000"/>
            <a:t>) =&gt; 50</a:t>
          </a:r>
          <a:r>
            <a:rPr lang="zh-TW" altLang="en-US" sz="2000"/>
            <a:t>個染疫的人、</a:t>
          </a:r>
          <a:r>
            <a:rPr lang="en-US" altLang="zh-TW" sz="2000"/>
            <a:t>50</a:t>
          </a:r>
          <a:r>
            <a:rPr lang="zh-TW" altLang="en-US" sz="2000"/>
            <a:t>個健康的人</a:t>
          </a:r>
        </a:p>
        <a:p>
          <a:r>
            <a:rPr lang="zh-TW" altLang="en-US" sz="2000"/>
            <a:t>紅色</a:t>
          </a:r>
          <a:r>
            <a:rPr lang="en-US" altLang="zh-TW" sz="2000"/>
            <a:t>(</a:t>
          </a:r>
          <a:r>
            <a:rPr lang="zh-TW" altLang="en-US" sz="2000"/>
            <a:t>疫區</a:t>
          </a:r>
          <a:r>
            <a:rPr lang="en-US" altLang="zh-TW" sz="2000"/>
            <a:t>) =&gt; 100</a:t>
          </a:r>
          <a:r>
            <a:rPr lang="zh-TW" altLang="en-US" sz="2000"/>
            <a:t>個染疫的人</a:t>
          </a:r>
        </a:p>
        <a:p>
          <a:endParaRPr lang="zh-TW" altLang="en-US" sz="2000"/>
        </a:p>
        <a:p>
          <a:r>
            <a:rPr lang="en-US" altLang="zh-TW" sz="2000" b="1"/>
            <a:t>【</a:t>
          </a:r>
          <a:r>
            <a:rPr lang="zh-TW" altLang="en-US" sz="2000" b="1"/>
            <a:t>警戒等級</a:t>
          </a:r>
          <a:r>
            <a:rPr lang="en-US" altLang="zh-TW" sz="2000" b="1"/>
            <a:t>】</a:t>
          </a:r>
        </a:p>
        <a:p>
          <a:endParaRPr lang="en-US" altLang="zh-TW" sz="2000"/>
        </a:p>
        <a:p>
          <a:r>
            <a:rPr lang="zh-TW" altLang="en-US" sz="2000"/>
            <a:t>第一級    </a:t>
          </a:r>
          <a:r>
            <a:rPr lang="en-US" altLang="zh-TW" sz="2000"/>
            <a:t>(</a:t>
          </a:r>
          <a:r>
            <a:rPr lang="zh-TW" altLang="en-US" sz="2000"/>
            <a:t>外出率預設 </a:t>
          </a:r>
          <a:r>
            <a:rPr lang="en-US" altLang="zh-TW" sz="2000"/>
            <a:t>90%</a:t>
          </a:r>
          <a:r>
            <a:rPr lang="zh-TW" altLang="en-US" sz="2000"/>
            <a:t>，經濟指數一周 </a:t>
          </a:r>
          <a:r>
            <a:rPr lang="en-US" altLang="zh-TW" sz="2000"/>
            <a:t>+ 5% )</a:t>
          </a:r>
        </a:p>
        <a:p>
          <a:r>
            <a:rPr lang="zh-TW" altLang="en-US" sz="2000"/>
            <a:t>第二級    </a:t>
          </a:r>
          <a:r>
            <a:rPr lang="en-US" altLang="zh-TW" sz="2000"/>
            <a:t>(</a:t>
          </a:r>
          <a:r>
            <a:rPr lang="zh-TW" altLang="en-US" sz="2000"/>
            <a:t>外出率預設 </a:t>
          </a:r>
          <a:r>
            <a:rPr lang="en-US" altLang="zh-TW" sz="2000"/>
            <a:t>80%</a:t>
          </a:r>
          <a:r>
            <a:rPr lang="zh-TW" altLang="en-US" sz="2000"/>
            <a:t>，經濟指數一周 </a:t>
          </a:r>
          <a:r>
            <a:rPr lang="en-US" altLang="zh-TW" sz="2000"/>
            <a:t>+ 3% )</a:t>
          </a:r>
        </a:p>
        <a:p>
          <a:r>
            <a:rPr lang="zh-TW" altLang="en-US" sz="2000"/>
            <a:t>第三級    </a:t>
          </a:r>
          <a:r>
            <a:rPr lang="en-US" altLang="zh-TW" sz="2000"/>
            <a:t>(</a:t>
          </a:r>
          <a:r>
            <a:rPr lang="zh-TW" altLang="en-US" sz="2000"/>
            <a:t>外出率預設 </a:t>
          </a:r>
          <a:r>
            <a:rPr lang="en-US" altLang="zh-TW" sz="2000"/>
            <a:t>50%</a:t>
          </a:r>
          <a:r>
            <a:rPr lang="zh-TW" altLang="en-US" sz="2000"/>
            <a:t>，經濟指數一周 </a:t>
          </a:r>
          <a:r>
            <a:rPr lang="en-US" altLang="zh-TW" sz="2000"/>
            <a:t>- 3% )</a:t>
          </a:r>
        </a:p>
        <a:p>
          <a:r>
            <a:rPr lang="zh-TW" altLang="en-US" sz="2000"/>
            <a:t>第三級強化</a:t>
          </a:r>
          <a:r>
            <a:rPr lang="en-US" altLang="zh-TW" sz="2000"/>
            <a:t>(</a:t>
          </a:r>
          <a:r>
            <a:rPr lang="zh-TW" altLang="en-US" sz="2000"/>
            <a:t>外出率預設 </a:t>
          </a:r>
          <a:r>
            <a:rPr lang="en-US" altLang="zh-TW" sz="2000"/>
            <a:t>30%</a:t>
          </a:r>
          <a:r>
            <a:rPr lang="zh-TW" altLang="en-US" sz="2000"/>
            <a:t>，經濟指數一周 </a:t>
          </a:r>
          <a:r>
            <a:rPr lang="en-US" altLang="zh-TW" sz="2000"/>
            <a:t>- 5% )</a:t>
          </a:r>
        </a:p>
        <a:p>
          <a:r>
            <a:rPr lang="zh-TW" altLang="en-US" sz="2000" b="1">
              <a:solidFill>
                <a:srgbClr val="FF0000"/>
              </a:solidFill>
            </a:rPr>
            <a:t>第四級    </a:t>
          </a:r>
          <a:r>
            <a:rPr lang="en-US" altLang="zh-TW" sz="2000" b="1">
              <a:solidFill>
                <a:srgbClr val="FF0000"/>
              </a:solidFill>
            </a:rPr>
            <a:t>(</a:t>
          </a:r>
          <a:r>
            <a:rPr lang="zh-TW" altLang="en-US" sz="2000" b="1">
              <a:solidFill>
                <a:srgbClr val="FF0000"/>
              </a:solidFill>
            </a:rPr>
            <a:t>外出率預設 </a:t>
          </a:r>
          <a:r>
            <a:rPr lang="en-US" altLang="zh-TW" sz="2000" b="1">
              <a:solidFill>
                <a:srgbClr val="FF0000"/>
              </a:solidFill>
            </a:rPr>
            <a:t>10%</a:t>
          </a:r>
          <a:r>
            <a:rPr lang="zh-TW" altLang="en-US" sz="2000" b="1">
              <a:solidFill>
                <a:srgbClr val="FF0000"/>
              </a:solidFill>
            </a:rPr>
            <a:t>，經濟指數一周 </a:t>
          </a:r>
          <a:r>
            <a:rPr lang="en-US" altLang="zh-TW" sz="2000" b="1">
              <a:solidFill>
                <a:srgbClr val="FF0000"/>
              </a:solidFill>
            </a:rPr>
            <a:t>- 20% )</a:t>
          </a:r>
        </a:p>
        <a:p>
          <a:r>
            <a:rPr lang="en-US" altLang="zh-TW" sz="2000">
              <a:solidFill>
                <a:schemeClr val="bg1"/>
              </a:solidFill>
            </a:rPr>
            <a:t>(</a:t>
          </a:r>
          <a:r>
            <a:rPr lang="zh-TW" altLang="en-US" sz="2000">
              <a:solidFill>
                <a:schemeClr val="bg1"/>
              </a:solidFill>
            </a:rPr>
            <a:t>所以一直封城會對經濟造成很大的影響，</a:t>
          </a:r>
          <a:endParaRPr lang="en-US" altLang="zh-TW" sz="2000">
            <a:solidFill>
              <a:schemeClr val="bg1"/>
            </a:solidFill>
          </a:endParaRPr>
        </a:p>
        <a:p>
          <a:r>
            <a:rPr lang="zh-TW" altLang="en-US" sz="2000">
              <a:solidFill>
                <a:schemeClr val="bg1"/>
              </a:solidFill>
            </a:rPr>
            <a:t>而經濟低迷 甚是 負成長會被</a:t>
          </a:r>
          <a:r>
            <a:rPr lang="zh-TW" altLang="en-US" sz="2000">
              <a:solidFill>
                <a:srgbClr val="FF0000"/>
              </a:solidFill>
            </a:rPr>
            <a:t>扣分</a:t>
          </a:r>
          <a:r>
            <a:rPr lang="zh-TW" altLang="en-US" sz="2000">
              <a:solidFill>
                <a:schemeClr val="bg1"/>
              </a:solidFill>
            </a:rPr>
            <a:t>喔</a:t>
          </a:r>
          <a:r>
            <a:rPr lang="en-US" altLang="zh-TW" sz="2000">
              <a:solidFill>
                <a:schemeClr val="bg1"/>
              </a:solidFill>
            </a:rPr>
            <a:t>!)</a:t>
          </a:r>
        </a:p>
        <a:p>
          <a:endParaRPr lang="en-US" altLang="zh-TW" sz="2000"/>
        </a:p>
        <a:p>
          <a:r>
            <a:rPr lang="en-US" altLang="zh-TW" sz="2000" b="1"/>
            <a:t>【</a:t>
          </a:r>
          <a:r>
            <a:rPr lang="zh-TW" altLang="en-US" sz="2000" b="1"/>
            <a:t>人民配合度</a:t>
          </a:r>
          <a:r>
            <a:rPr lang="en-US" altLang="zh-TW" sz="2000" b="1"/>
            <a:t>】</a:t>
          </a:r>
        </a:p>
        <a:p>
          <a:r>
            <a:rPr lang="zh-TW" altLang="en-US" sz="2000"/>
            <a:t>外出率與人民配合度相關</a:t>
          </a:r>
        </a:p>
        <a:p>
          <a:r>
            <a:rPr lang="zh-TW" altLang="en-US" sz="2000"/>
            <a:t>原本四級警戒 外出率是 </a:t>
          </a:r>
          <a:r>
            <a:rPr lang="en-US" altLang="zh-TW" sz="2000"/>
            <a:t>0.1 </a:t>
          </a:r>
          <a:r>
            <a:rPr lang="zh-TW" altLang="en-US" sz="2000"/>
            <a:t>所以應該有九成的民眾不出門</a:t>
          </a:r>
        </a:p>
        <a:p>
          <a:r>
            <a:rPr lang="zh-TW" altLang="en-US" sz="2000"/>
            <a:t>但是因為</a:t>
          </a:r>
          <a:r>
            <a:rPr lang="zh-TW" altLang="en-US" sz="2000" b="1">
              <a:solidFill>
                <a:srgbClr val="FF0000"/>
              </a:solidFill>
            </a:rPr>
            <a:t>配合度是</a:t>
          </a:r>
          <a:r>
            <a:rPr lang="en-US" altLang="zh-TW" sz="2000" b="1">
              <a:solidFill>
                <a:srgbClr val="FF0000"/>
              </a:solidFill>
            </a:rPr>
            <a:t>50%</a:t>
          </a:r>
          <a:r>
            <a:rPr lang="zh-TW" altLang="en-US" sz="2000" b="1">
              <a:solidFill>
                <a:srgbClr val="FF0000"/>
              </a:solidFill>
            </a:rPr>
            <a:t>，所以其實有一半的人會偷跑出來</a:t>
          </a:r>
          <a:r>
            <a:rPr lang="en-US" altLang="zh-TW" sz="2000" b="1">
              <a:solidFill>
                <a:srgbClr val="FF0000"/>
              </a:solidFill>
            </a:rPr>
            <a:t>!</a:t>
          </a:r>
        </a:p>
        <a:p>
          <a:r>
            <a:rPr lang="zh-TW" altLang="en-US" sz="2000"/>
            <a:t>真實外出率是要加上偷跑出來的人</a:t>
          </a:r>
          <a:r>
            <a:rPr lang="en-US" altLang="zh-TW" sz="2000"/>
            <a:t>(</a:t>
          </a:r>
          <a:r>
            <a:rPr lang="zh-TW" altLang="en-US" sz="2000"/>
            <a:t>不配合的民眾</a:t>
          </a:r>
          <a:r>
            <a:rPr lang="en-US" altLang="zh-TW" sz="2000"/>
            <a:t>)</a:t>
          </a:r>
        </a:p>
        <a:p>
          <a:r>
            <a:rPr lang="en-US" altLang="zh-TW" sz="2000"/>
            <a:t> =&gt;  0.1 + (0.9x 0.5) = 0.55</a:t>
          </a:r>
        </a:p>
      </xdr:txBody>
    </xdr:sp>
    <xdr:clientData/>
  </xdr:twoCellAnchor>
  <xdr:twoCellAnchor>
    <xdr:from>
      <xdr:col>43</xdr:col>
      <xdr:colOff>229658</xdr:colOff>
      <xdr:row>0</xdr:row>
      <xdr:rowOff>164041</xdr:rowOff>
    </xdr:from>
    <xdr:to>
      <xdr:col>51</xdr:col>
      <xdr:colOff>574675</xdr:colOff>
      <xdr:row>45</xdr:row>
      <xdr:rowOff>0</xdr:rowOff>
    </xdr:to>
    <xdr:sp macro="" textlink="">
      <xdr:nvSpPr>
        <xdr:cNvPr id="5" name="文字方塊 4">
          <a:extLst>
            <a:ext uri="{FF2B5EF4-FFF2-40B4-BE49-F238E27FC236}">
              <a16:creationId xmlns:a16="http://schemas.microsoft.com/office/drawing/2014/main" id="{1CA04554-6D41-48AC-B8E6-400BF52DF99F}"/>
            </a:ext>
          </a:extLst>
        </xdr:cNvPr>
        <xdr:cNvSpPr txBox="1"/>
      </xdr:nvSpPr>
      <xdr:spPr>
        <a:xfrm>
          <a:off x="23629408" y="164041"/>
          <a:ext cx="5171017" cy="9837209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zh-TW" sz="2000" b="1"/>
            <a:t>【</a:t>
          </a:r>
          <a:r>
            <a:rPr lang="zh-TW" altLang="en-US" sz="2000" b="1"/>
            <a:t>篩檢站</a:t>
          </a:r>
          <a:r>
            <a:rPr lang="en-US" altLang="zh-TW" sz="2000" b="1"/>
            <a:t>】</a:t>
          </a:r>
        </a:p>
        <a:p>
          <a:r>
            <a:rPr lang="zh-TW" altLang="en-US" sz="2000"/>
            <a:t>初始為</a:t>
          </a:r>
          <a:r>
            <a:rPr lang="en-US" altLang="zh-TW" sz="2000"/>
            <a:t>200</a:t>
          </a:r>
          <a:r>
            <a:rPr lang="zh-TW" altLang="en-US" sz="2000"/>
            <a:t>間</a:t>
          </a:r>
        </a:p>
        <a:p>
          <a:endParaRPr lang="zh-TW" altLang="en-US" sz="2000"/>
        </a:p>
        <a:p>
          <a:r>
            <a:rPr lang="en-US" altLang="zh-TW" sz="2000"/>
            <a:t>0~3</a:t>
          </a:r>
          <a:r>
            <a:rPr lang="zh-TW" altLang="en-US" sz="2000"/>
            <a:t>周</a:t>
          </a:r>
          <a:r>
            <a:rPr lang="en-US" altLang="zh-TW" sz="2000"/>
            <a:t>(</a:t>
          </a:r>
          <a:r>
            <a:rPr lang="zh-TW" altLang="en-US" sz="2000"/>
            <a:t>前期</a:t>
          </a:r>
          <a:r>
            <a:rPr lang="en-US" altLang="zh-TW" sz="2000"/>
            <a:t>) </a:t>
          </a:r>
          <a:r>
            <a:rPr lang="zh-TW" altLang="en-US" sz="2000"/>
            <a:t>一周增加 </a:t>
          </a:r>
          <a:r>
            <a:rPr lang="en-US" altLang="zh-TW" sz="2000"/>
            <a:t>20 </a:t>
          </a:r>
          <a:r>
            <a:rPr lang="zh-TW" altLang="en-US" sz="2000"/>
            <a:t>間篩檢站</a:t>
          </a:r>
        </a:p>
        <a:p>
          <a:r>
            <a:rPr lang="en-US" altLang="zh-TW" sz="2000"/>
            <a:t>4~6</a:t>
          </a:r>
          <a:r>
            <a:rPr lang="zh-TW" altLang="en-US" sz="2000"/>
            <a:t>周</a:t>
          </a:r>
          <a:r>
            <a:rPr lang="en-US" altLang="zh-TW" sz="2000"/>
            <a:t>(</a:t>
          </a:r>
          <a:r>
            <a:rPr lang="zh-TW" altLang="en-US" sz="2000"/>
            <a:t>中期</a:t>
          </a:r>
          <a:r>
            <a:rPr lang="en-US" altLang="zh-TW" sz="2000"/>
            <a:t>) </a:t>
          </a:r>
          <a:r>
            <a:rPr lang="zh-TW" altLang="en-US" sz="2000"/>
            <a:t>一周增加 </a:t>
          </a:r>
          <a:r>
            <a:rPr lang="en-US" altLang="zh-TW" sz="2000"/>
            <a:t>40 </a:t>
          </a:r>
          <a:r>
            <a:rPr lang="zh-TW" altLang="en-US" sz="2000"/>
            <a:t>間篩檢站</a:t>
          </a:r>
        </a:p>
        <a:p>
          <a:r>
            <a:rPr lang="en-US" altLang="zh-TW" sz="2000"/>
            <a:t>7~9</a:t>
          </a:r>
          <a:r>
            <a:rPr lang="zh-TW" altLang="en-US" sz="2000"/>
            <a:t>周</a:t>
          </a:r>
          <a:r>
            <a:rPr lang="en-US" altLang="zh-TW" sz="2000"/>
            <a:t>(</a:t>
          </a:r>
          <a:r>
            <a:rPr lang="zh-TW" altLang="en-US" sz="2000"/>
            <a:t>後期</a:t>
          </a:r>
          <a:r>
            <a:rPr lang="en-US" altLang="zh-TW" sz="2000"/>
            <a:t>) </a:t>
          </a:r>
          <a:r>
            <a:rPr lang="zh-TW" altLang="en-US" sz="2000"/>
            <a:t>一周增加 </a:t>
          </a:r>
          <a:r>
            <a:rPr lang="en-US" altLang="zh-TW" sz="2000"/>
            <a:t>100 </a:t>
          </a:r>
          <a:r>
            <a:rPr lang="zh-TW" altLang="en-US" sz="2000"/>
            <a:t>間篩檢站</a:t>
          </a:r>
        </a:p>
        <a:p>
          <a:endParaRPr lang="zh-TW" altLang="en-US" sz="2000"/>
        </a:p>
        <a:p>
          <a:r>
            <a:rPr lang="zh-TW" altLang="en-US" sz="2000"/>
            <a:t>最後會有 </a:t>
          </a:r>
          <a:r>
            <a:rPr lang="en-US" altLang="zh-TW" sz="2000"/>
            <a:t>700</a:t>
          </a:r>
          <a:r>
            <a:rPr lang="zh-TW" altLang="en-US" sz="2000"/>
            <a:t>間</a:t>
          </a:r>
        </a:p>
        <a:p>
          <a:endParaRPr lang="zh-TW" altLang="en-US" sz="2000"/>
        </a:p>
        <a:p>
          <a:r>
            <a:rPr lang="zh-TW" altLang="en-US" sz="2000" b="1">
              <a:solidFill>
                <a:srgbClr val="FF0000"/>
              </a:solidFill>
            </a:rPr>
            <a:t>可以有效降低感染機率</a:t>
          </a:r>
          <a:r>
            <a:rPr lang="en-US" altLang="zh-TW" sz="2000" b="1">
              <a:solidFill>
                <a:srgbClr val="FF0000"/>
              </a:solidFill>
            </a:rPr>
            <a:t>(</a:t>
          </a:r>
          <a:r>
            <a:rPr lang="zh-TW" altLang="en-US" sz="2000" b="1">
              <a:solidFill>
                <a:srgbClr val="FF0000"/>
              </a:solidFill>
            </a:rPr>
            <a:t>變為一半</a:t>
          </a:r>
          <a:r>
            <a:rPr lang="en-US" altLang="zh-TW" sz="2000" b="1">
              <a:solidFill>
                <a:srgbClr val="FF0000"/>
              </a:solidFill>
            </a:rPr>
            <a:t>)</a:t>
          </a:r>
        </a:p>
        <a:p>
          <a:endParaRPr lang="en-US" altLang="zh-TW" sz="2000"/>
        </a:p>
        <a:p>
          <a:r>
            <a:rPr lang="zh-TW" altLang="en-US" sz="2000"/>
            <a:t>傳播地有篩檢站</a:t>
          </a:r>
          <a:r>
            <a:rPr lang="en-US" altLang="zh-TW" sz="2000"/>
            <a:t>(</a:t>
          </a:r>
          <a:r>
            <a:rPr lang="zh-TW" altLang="en-US" sz="2000"/>
            <a:t>感染機率變為一半</a:t>
          </a:r>
          <a:r>
            <a:rPr lang="en-US" altLang="zh-TW" sz="2000"/>
            <a:t>)</a:t>
          </a:r>
        </a:p>
        <a:p>
          <a:r>
            <a:rPr lang="zh-TW" altLang="en-US" sz="2000"/>
            <a:t>被傳播地也有篩檢站</a:t>
          </a:r>
          <a:r>
            <a:rPr lang="en-US" altLang="zh-TW" sz="2000"/>
            <a:t>(</a:t>
          </a:r>
          <a:r>
            <a:rPr lang="zh-TW" altLang="en-US" sz="2000"/>
            <a:t>感染機率再次變為一半</a:t>
          </a:r>
          <a:r>
            <a:rPr lang="en-US" altLang="zh-TW" sz="2000"/>
            <a:t>)</a:t>
          </a:r>
        </a:p>
        <a:p>
          <a:endParaRPr lang="en-US" altLang="zh-TW" sz="2000"/>
        </a:p>
        <a:p>
          <a:r>
            <a:rPr lang="zh-TW" altLang="en-US" sz="2000" b="1">
              <a:solidFill>
                <a:srgbClr val="FF0000"/>
              </a:solidFill>
            </a:rPr>
            <a:t>兩邊都有篩檢站的話感染機率總共可以降低到原本的</a:t>
          </a:r>
          <a:r>
            <a:rPr lang="en-US" altLang="zh-TW" sz="2000" b="1">
              <a:solidFill>
                <a:srgbClr val="FF0000"/>
              </a:solidFill>
            </a:rPr>
            <a:t>1/4</a:t>
          </a:r>
        </a:p>
        <a:p>
          <a:endParaRPr lang="en-US" altLang="zh-TW" sz="2000"/>
        </a:p>
        <a:p>
          <a:r>
            <a:rPr lang="zh-TW" altLang="en-US" sz="2000" b="1">
              <a:solidFill>
                <a:srgbClr val="FF0000"/>
              </a:solidFill>
            </a:rPr>
            <a:t>但是一個篩檢站會占用 </a:t>
          </a:r>
          <a:r>
            <a:rPr lang="en-US" altLang="zh-TW" sz="2000" b="1">
              <a:solidFill>
                <a:srgbClr val="FF0000"/>
              </a:solidFill>
            </a:rPr>
            <a:t>2</a:t>
          </a:r>
          <a:r>
            <a:rPr lang="zh-TW" altLang="en-US" sz="2000" b="1">
              <a:solidFill>
                <a:srgbClr val="FF0000"/>
              </a:solidFill>
            </a:rPr>
            <a:t>位醫護 </a:t>
          </a:r>
          <a:r>
            <a:rPr lang="en-US" altLang="zh-TW" sz="2000" b="1">
              <a:solidFill>
                <a:srgbClr val="FF0000"/>
              </a:solidFill>
            </a:rPr>
            <a:t>=&gt; </a:t>
          </a:r>
          <a:r>
            <a:rPr lang="zh-TW" altLang="en-US" sz="2000" b="1">
              <a:solidFill>
                <a:srgbClr val="FF0000"/>
              </a:solidFill>
            </a:rPr>
            <a:t>造成醫護比提升 </a:t>
          </a:r>
        </a:p>
        <a:p>
          <a:endParaRPr lang="zh-TW" altLang="en-US" sz="2000"/>
        </a:p>
        <a:p>
          <a:r>
            <a:rPr lang="en-US" altLang="zh-TW" sz="2000" b="1"/>
            <a:t>【</a:t>
          </a:r>
          <a:r>
            <a:rPr lang="zh-TW" altLang="en-US" sz="2000" b="1"/>
            <a:t>醫護人員</a:t>
          </a:r>
          <a:r>
            <a:rPr lang="en-US" altLang="zh-TW" sz="2000" b="1"/>
            <a:t>】</a:t>
          </a:r>
        </a:p>
        <a:p>
          <a:endParaRPr lang="en-US" altLang="zh-TW" sz="2000"/>
        </a:p>
        <a:p>
          <a:r>
            <a:rPr lang="zh-TW" altLang="en-US" sz="2000"/>
            <a:t>總共有</a:t>
          </a:r>
          <a:r>
            <a:rPr lang="en-US" altLang="zh-TW" sz="2000"/>
            <a:t>3000</a:t>
          </a:r>
          <a:r>
            <a:rPr lang="zh-TW" altLang="en-US" sz="2000"/>
            <a:t>人</a:t>
          </a:r>
        </a:p>
        <a:p>
          <a:endParaRPr lang="zh-TW" altLang="en-US" sz="2000"/>
        </a:p>
        <a:p>
          <a:r>
            <a:rPr lang="zh-TW" altLang="en-US" sz="2000"/>
            <a:t>一個醫護正常狀況可以照顧</a:t>
          </a:r>
          <a:r>
            <a:rPr lang="en-US" altLang="zh-TW" sz="2000"/>
            <a:t>5</a:t>
          </a:r>
          <a:r>
            <a:rPr lang="zh-TW" altLang="en-US" sz="2000"/>
            <a:t>位病患</a:t>
          </a:r>
          <a:endParaRPr lang="en-US" altLang="zh-TW" sz="2000"/>
        </a:p>
        <a:p>
          <a:r>
            <a:rPr lang="en-US" altLang="zh-TW" sz="2000"/>
            <a:t>(</a:t>
          </a:r>
          <a:r>
            <a:rPr lang="zh-TW" altLang="en-US" sz="2000"/>
            <a:t>醫護比 </a:t>
          </a:r>
          <a:r>
            <a:rPr lang="en-US" altLang="zh-TW" sz="2000"/>
            <a:t>1: 5 =&gt; 500%)</a:t>
          </a:r>
        </a:p>
        <a:p>
          <a:endParaRPr lang="en-US" altLang="zh-TW" sz="2000"/>
        </a:p>
        <a:p>
          <a:r>
            <a:rPr lang="zh-TW" altLang="en-US" sz="2000"/>
            <a:t>如果</a:t>
          </a:r>
          <a:r>
            <a:rPr lang="zh-TW" altLang="en-US" sz="2000" b="1">
              <a:solidFill>
                <a:srgbClr val="FF0000"/>
              </a:solidFill>
            </a:rPr>
            <a:t>超過的話就會有機率發生「院內感染」</a:t>
          </a:r>
          <a:r>
            <a:rPr lang="en-US" altLang="zh-TW" sz="2000"/>
            <a:t>=&gt;</a:t>
          </a:r>
          <a:r>
            <a:rPr lang="zh-TW" altLang="en-US" sz="2000" b="1">
              <a:solidFill>
                <a:srgbClr val="FF0000"/>
              </a:solidFill>
            </a:rPr>
            <a:t>損失醫護人員</a:t>
          </a:r>
        </a:p>
        <a:p>
          <a:r>
            <a:rPr lang="zh-TW" altLang="en-US" sz="2000"/>
            <a:t>也會造成醫療體系負荷過重 </a:t>
          </a:r>
          <a:r>
            <a:rPr lang="en-US" altLang="zh-TW" sz="2000"/>
            <a:t>=&gt; </a:t>
          </a:r>
          <a:r>
            <a:rPr lang="zh-TW" altLang="en-US" sz="2000" b="1">
              <a:solidFill>
                <a:srgbClr val="FF0000"/>
              </a:solidFill>
            </a:rPr>
            <a:t>死亡率提升</a:t>
          </a:r>
        </a:p>
        <a:p>
          <a:endParaRPr lang="zh-TW" altLang="en-US" sz="2000"/>
        </a:p>
        <a:p>
          <a:endParaRPr lang="en-US" altLang="zh-TW" sz="2000"/>
        </a:p>
      </xdr:txBody>
    </xdr:sp>
    <xdr:clientData/>
  </xdr:twoCellAnchor>
  <xdr:twoCellAnchor>
    <xdr:from>
      <xdr:col>52</xdr:col>
      <xdr:colOff>143934</xdr:colOff>
      <xdr:row>0</xdr:row>
      <xdr:rowOff>176741</xdr:rowOff>
    </xdr:from>
    <xdr:to>
      <xdr:col>61</xdr:col>
      <xdr:colOff>127000</xdr:colOff>
      <xdr:row>44</xdr:row>
      <xdr:rowOff>206375</xdr:rowOff>
    </xdr:to>
    <xdr:sp macro="" textlink="">
      <xdr:nvSpPr>
        <xdr:cNvPr id="6" name="文字方塊 5">
          <a:extLst>
            <a:ext uri="{FF2B5EF4-FFF2-40B4-BE49-F238E27FC236}">
              <a16:creationId xmlns:a16="http://schemas.microsoft.com/office/drawing/2014/main" id="{8DEB5D1F-6792-4318-9916-58F8E96FB96D}"/>
            </a:ext>
          </a:extLst>
        </xdr:cNvPr>
        <xdr:cNvSpPr txBox="1"/>
      </xdr:nvSpPr>
      <xdr:spPr>
        <a:xfrm>
          <a:off x="28972934" y="176741"/>
          <a:ext cx="5412316" cy="9808634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zh-TW" sz="2000" b="1"/>
            <a:t>【</a:t>
          </a:r>
          <a:r>
            <a:rPr lang="zh-TW" altLang="en-US" sz="2000" b="1"/>
            <a:t>醫護比</a:t>
          </a:r>
          <a:r>
            <a:rPr lang="en-US" altLang="zh-TW" sz="2000" b="1"/>
            <a:t>】</a:t>
          </a:r>
        </a:p>
        <a:p>
          <a:r>
            <a:rPr lang="zh-TW" altLang="en-US" sz="2000"/>
            <a:t>一位醫護照顧多少位病人</a:t>
          </a:r>
        </a:p>
        <a:p>
          <a:r>
            <a:rPr lang="zh-TW" altLang="en-US" sz="2000"/>
            <a:t>決定 </a:t>
          </a:r>
          <a:r>
            <a:rPr lang="en-US" altLang="zh-TW" sz="2000"/>
            <a:t>dangers(</a:t>
          </a:r>
          <a:r>
            <a:rPr lang="zh-TW" altLang="en-US" sz="2000"/>
            <a:t>感染機率</a:t>
          </a:r>
          <a:r>
            <a:rPr lang="en-US" altLang="zh-TW" sz="2000"/>
            <a:t>) </a:t>
          </a:r>
          <a:r>
            <a:rPr lang="zh-TW" altLang="en-US" sz="2000"/>
            <a:t>與 </a:t>
          </a:r>
          <a:r>
            <a:rPr lang="en-US" altLang="zh-TW" sz="2000"/>
            <a:t>death_rate(</a:t>
          </a:r>
          <a:r>
            <a:rPr lang="zh-TW" altLang="en-US" sz="2000"/>
            <a:t>死亡率</a:t>
          </a:r>
          <a:r>
            <a:rPr lang="en-US" altLang="zh-TW" sz="2000"/>
            <a:t>)</a:t>
          </a:r>
        </a:p>
        <a:p>
          <a:endParaRPr lang="en-US" altLang="zh-TW" sz="2000"/>
        </a:p>
        <a:p>
          <a:r>
            <a:rPr lang="zh-TW" altLang="en-US" sz="2000"/>
            <a:t>醫護比 </a:t>
          </a:r>
          <a:r>
            <a:rPr lang="en-US" altLang="zh-TW" sz="2000"/>
            <a:t>500%  (1:5)</a:t>
          </a:r>
          <a:r>
            <a:rPr lang="zh-TW" altLang="en-US" sz="2000"/>
            <a:t>以下  </a:t>
          </a:r>
          <a:r>
            <a:rPr lang="en-US" altLang="zh-TW" sz="2000"/>
            <a:t>=&gt;</a:t>
          </a:r>
        </a:p>
        <a:p>
          <a:r>
            <a:rPr lang="en-US" altLang="zh-TW" sz="2000"/>
            <a:t> dangers = 0    ,death_rate = 0.02 </a:t>
          </a:r>
        </a:p>
        <a:p>
          <a:endParaRPr lang="en-US" altLang="zh-TW" sz="2000"/>
        </a:p>
        <a:p>
          <a:r>
            <a:rPr lang="zh-TW" altLang="en-US" sz="2000"/>
            <a:t>醫護比 </a:t>
          </a:r>
          <a:r>
            <a:rPr lang="en-US" altLang="zh-TW" sz="2000"/>
            <a:t>1000% (1:10)</a:t>
          </a:r>
          <a:r>
            <a:rPr lang="zh-TW" altLang="en-US" sz="2000"/>
            <a:t>以下 </a:t>
          </a:r>
          <a:r>
            <a:rPr lang="en-US" altLang="zh-TW" sz="2000"/>
            <a:t>=&gt;</a:t>
          </a:r>
        </a:p>
        <a:p>
          <a:r>
            <a:rPr lang="en-US" altLang="zh-TW" sz="2000"/>
            <a:t> dangers = 0.05 ,death_rate = 0.04 </a:t>
          </a:r>
        </a:p>
        <a:p>
          <a:endParaRPr lang="en-US" altLang="zh-TW" sz="2000"/>
        </a:p>
        <a:p>
          <a:r>
            <a:rPr lang="zh-TW" altLang="en-US" sz="2000"/>
            <a:t>醫護比 </a:t>
          </a:r>
          <a:r>
            <a:rPr lang="en-US" altLang="zh-TW" sz="2000"/>
            <a:t>1500% (1:15)</a:t>
          </a:r>
          <a:r>
            <a:rPr lang="zh-TW" altLang="en-US" sz="2000"/>
            <a:t>以下 </a:t>
          </a:r>
          <a:r>
            <a:rPr lang="en-US" altLang="zh-TW" sz="2000"/>
            <a:t>=&gt; </a:t>
          </a:r>
        </a:p>
        <a:p>
          <a:r>
            <a:rPr lang="en-US" altLang="zh-TW" sz="2000"/>
            <a:t>dangers = 0.1  ,death_rate = 0.06 </a:t>
          </a:r>
        </a:p>
        <a:p>
          <a:endParaRPr lang="en-US" altLang="zh-TW" sz="2000"/>
        </a:p>
        <a:p>
          <a:r>
            <a:rPr lang="zh-TW" altLang="en-US" sz="2000"/>
            <a:t>醫護比 </a:t>
          </a:r>
          <a:r>
            <a:rPr lang="en-US" altLang="zh-TW" sz="2000"/>
            <a:t>2000% (1:20)</a:t>
          </a:r>
          <a:r>
            <a:rPr lang="zh-TW" altLang="en-US" sz="2000"/>
            <a:t>以下 </a:t>
          </a:r>
          <a:r>
            <a:rPr lang="en-US" altLang="zh-TW" sz="2000"/>
            <a:t>=&gt;</a:t>
          </a:r>
        </a:p>
        <a:p>
          <a:r>
            <a:rPr lang="en-US" altLang="zh-TW" sz="2000"/>
            <a:t> dangers = 0.15 ,death_rate = 0.08 </a:t>
          </a:r>
        </a:p>
        <a:p>
          <a:endParaRPr lang="en-US" altLang="zh-TW" sz="2000"/>
        </a:p>
        <a:p>
          <a:r>
            <a:rPr lang="zh-TW" altLang="en-US" sz="2000"/>
            <a:t>醫護比 </a:t>
          </a:r>
          <a:r>
            <a:rPr lang="en-US" altLang="zh-TW" sz="2000"/>
            <a:t>2000% (1:20)</a:t>
          </a:r>
          <a:r>
            <a:rPr lang="zh-TW" altLang="en-US" sz="2000"/>
            <a:t>以上 </a:t>
          </a:r>
          <a:r>
            <a:rPr lang="en-US" altLang="zh-TW" sz="2000"/>
            <a:t>=&gt;</a:t>
          </a:r>
        </a:p>
        <a:p>
          <a:r>
            <a:rPr lang="en-US" altLang="zh-TW" sz="2000"/>
            <a:t> dangers = 0.3  ,death_rate = 0.1 </a:t>
          </a:r>
        </a:p>
        <a:p>
          <a:endParaRPr lang="en-US" altLang="zh-TW" sz="2000"/>
        </a:p>
        <a:p>
          <a:r>
            <a:rPr lang="zh-TW" altLang="en-US" sz="2000"/>
            <a:t>而 </a:t>
          </a:r>
          <a:r>
            <a:rPr lang="en-US" altLang="zh-TW" sz="2000"/>
            <a:t>dangers(</a:t>
          </a:r>
          <a:r>
            <a:rPr lang="zh-TW" altLang="en-US" sz="2000"/>
            <a:t>感染機率</a:t>
          </a:r>
          <a:r>
            <a:rPr lang="en-US" altLang="zh-TW" sz="2000"/>
            <a:t>) </a:t>
          </a:r>
          <a:r>
            <a:rPr lang="zh-TW" altLang="en-US" sz="2000"/>
            <a:t>會決定 </a:t>
          </a:r>
          <a:r>
            <a:rPr lang="en-US" altLang="zh-TW" sz="2000"/>
            <a:t>range(</a:t>
          </a:r>
          <a:r>
            <a:rPr lang="zh-TW" altLang="en-US" sz="2000"/>
            <a:t>影響範圍</a:t>
          </a:r>
          <a:r>
            <a:rPr lang="en-US" altLang="zh-TW" sz="2000"/>
            <a:t>) </a:t>
          </a:r>
        </a:p>
        <a:p>
          <a:r>
            <a:rPr lang="en-US" altLang="zh-TW" sz="2000"/>
            <a:t>dangers(</a:t>
          </a:r>
          <a:r>
            <a:rPr lang="zh-TW" altLang="en-US" sz="2000"/>
            <a:t>感染機率</a:t>
          </a:r>
          <a:r>
            <a:rPr lang="en-US" altLang="zh-TW" sz="2000"/>
            <a:t>) =&gt; range(</a:t>
          </a:r>
          <a:r>
            <a:rPr lang="zh-TW" altLang="en-US" sz="2000"/>
            <a:t>影響範圍</a:t>
          </a:r>
          <a:r>
            <a:rPr lang="en-US" altLang="zh-TW" sz="2000"/>
            <a:t>) </a:t>
          </a:r>
        </a:p>
        <a:p>
          <a:r>
            <a:rPr lang="en-US" altLang="zh-TW" sz="2000"/>
            <a:t>dangers = 0.05 =&gt;  range = 0.01</a:t>
          </a:r>
        </a:p>
        <a:p>
          <a:r>
            <a:rPr lang="en-US" altLang="zh-TW" sz="2000"/>
            <a:t>dangers = 0.1 =&gt;  range = 0.05</a:t>
          </a:r>
        </a:p>
        <a:p>
          <a:r>
            <a:rPr lang="en-US" altLang="zh-TW" sz="2000"/>
            <a:t>dangers = 0.15 =&gt;  range = 0.1</a:t>
          </a:r>
        </a:p>
        <a:p>
          <a:r>
            <a:rPr lang="en-US" altLang="zh-TW" sz="2000"/>
            <a:t>dangers = 0.3 =&gt;  range = 0.3</a:t>
          </a:r>
        </a:p>
        <a:p>
          <a:r>
            <a:rPr lang="en-US" altLang="zh-TW" sz="2000"/>
            <a:t>dangers &gt; 0.3 =&gt;  range = 0.5</a:t>
          </a:r>
        </a:p>
        <a:p>
          <a:endParaRPr lang="en-US" altLang="zh-TW" sz="2000"/>
        </a:p>
        <a:p>
          <a:r>
            <a:rPr lang="zh-TW" altLang="en-US" sz="2000" b="1">
              <a:solidFill>
                <a:srgbClr val="FF0000"/>
              </a:solidFill>
            </a:rPr>
            <a:t>所有影響範圍的醫護都要進行感染判定</a:t>
          </a:r>
          <a:endParaRPr lang="en-US" altLang="zh-TW" sz="2000" b="1">
            <a:solidFill>
              <a:srgbClr val="FF0000"/>
            </a:solidFill>
          </a:endParaRPr>
        </a:p>
        <a:p>
          <a:r>
            <a:rPr lang="zh-TW" altLang="en-US" sz="2000" b="1">
              <a:solidFill>
                <a:srgbClr val="FF0000"/>
              </a:solidFill>
            </a:rPr>
            <a:t>而病患在治療滿三周後就會出院</a:t>
          </a:r>
          <a:endParaRPr lang="en-US" altLang="zh-TW" sz="2000" b="1">
            <a:solidFill>
              <a:srgbClr val="FF0000"/>
            </a:solidFill>
          </a:endParaRPr>
        </a:p>
        <a:p>
          <a:r>
            <a:rPr lang="en-US" altLang="zh-TW" sz="2000"/>
            <a:t>(</a:t>
          </a:r>
          <a:r>
            <a:rPr lang="zh-TW" altLang="en-US" sz="2000"/>
            <a:t>第</a:t>
          </a:r>
          <a:r>
            <a:rPr lang="en-US" altLang="zh-TW" sz="2000"/>
            <a:t>0</a:t>
          </a:r>
          <a:r>
            <a:rPr lang="zh-TW" altLang="en-US" sz="2000"/>
            <a:t>周確診</a:t>
          </a:r>
          <a:r>
            <a:rPr lang="en-US" altLang="zh-TW" sz="2000"/>
            <a:t>=&gt;</a:t>
          </a:r>
          <a:r>
            <a:rPr lang="zh-TW" altLang="en-US" sz="2000"/>
            <a:t>第</a:t>
          </a:r>
          <a:r>
            <a:rPr lang="en-US" altLang="zh-TW" sz="2000"/>
            <a:t>4</a:t>
          </a:r>
          <a:r>
            <a:rPr lang="zh-TW" altLang="en-US" sz="2000"/>
            <a:t>周出院</a:t>
          </a:r>
          <a:r>
            <a:rPr lang="en-US" altLang="zh-TW" sz="2000"/>
            <a:t>)</a:t>
          </a:r>
        </a:p>
        <a:p>
          <a:endParaRPr lang="en-US" altLang="zh-TW" sz="2000"/>
        </a:p>
        <a:p>
          <a:endParaRPr lang="en-US" altLang="zh-TW" sz="2000"/>
        </a:p>
      </xdr:txBody>
    </xdr:sp>
    <xdr:clientData/>
  </xdr:twoCellAnchor>
  <xdr:twoCellAnchor>
    <xdr:from>
      <xdr:col>61</xdr:col>
      <xdr:colOff>394758</xdr:colOff>
      <xdr:row>0</xdr:row>
      <xdr:rowOff>168274</xdr:rowOff>
    </xdr:from>
    <xdr:to>
      <xdr:col>70</xdr:col>
      <xdr:colOff>130175</xdr:colOff>
      <xdr:row>44</xdr:row>
      <xdr:rowOff>174625</xdr:rowOff>
    </xdr:to>
    <xdr:sp macro="" textlink="">
      <xdr:nvSpPr>
        <xdr:cNvPr id="7" name="文字方塊 6">
          <a:extLst>
            <a:ext uri="{FF2B5EF4-FFF2-40B4-BE49-F238E27FC236}">
              <a16:creationId xmlns:a16="http://schemas.microsoft.com/office/drawing/2014/main" id="{84E6DAF8-324C-48C9-8B32-73CBCA6F9C13}"/>
            </a:ext>
          </a:extLst>
        </xdr:cNvPr>
        <xdr:cNvSpPr txBox="1"/>
      </xdr:nvSpPr>
      <xdr:spPr>
        <a:xfrm>
          <a:off x="34653008" y="168274"/>
          <a:ext cx="5164667" cy="9785351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zh-TW" sz="2000" b="1"/>
            <a:t>【</a:t>
          </a:r>
          <a:r>
            <a:rPr lang="zh-TW" altLang="en-US" sz="2000" b="1"/>
            <a:t>經濟指數</a:t>
          </a:r>
          <a:r>
            <a:rPr lang="en-US" altLang="zh-TW" sz="2000" b="1"/>
            <a:t>】</a:t>
          </a:r>
        </a:p>
        <a:p>
          <a:r>
            <a:rPr lang="zh-TW" altLang="en-US" sz="2000"/>
            <a:t>初始值</a:t>
          </a:r>
          <a:r>
            <a:rPr lang="en-US" altLang="zh-TW" sz="2000"/>
            <a:t>:100%</a:t>
          </a:r>
        </a:p>
        <a:p>
          <a:endParaRPr lang="en-US" altLang="zh-TW" sz="2000"/>
        </a:p>
        <a:p>
          <a:r>
            <a:rPr lang="zh-TW" altLang="en-US" sz="2000"/>
            <a:t>城市的經濟也是很重要的，如果警戒等級提升，所有人減少外出就會對經濟造成影響</a:t>
          </a:r>
          <a:endParaRPr lang="en-US" altLang="zh-TW" sz="2000"/>
        </a:p>
        <a:p>
          <a:endParaRPr lang="zh-TW" altLang="en-US" sz="2000"/>
        </a:p>
        <a:p>
          <a:r>
            <a:rPr lang="zh-TW" altLang="en-US" sz="2000"/>
            <a:t>第一級    </a:t>
          </a:r>
          <a:r>
            <a:rPr lang="en-US" altLang="zh-TW" sz="2000"/>
            <a:t>(</a:t>
          </a:r>
          <a:r>
            <a:rPr lang="zh-TW" altLang="en-US" sz="2000"/>
            <a:t>經濟指數一周 </a:t>
          </a:r>
          <a:r>
            <a:rPr lang="en-US" altLang="zh-TW" sz="2000"/>
            <a:t>+ 5% )</a:t>
          </a:r>
        </a:p>
        <a:p>
          <a:r>
            <a:rPr lang="zh-TW" altLang="en-US" sz="2000"/>
            <a:t>第二級    </a:t>
          </a:r>
          <a:r>
            <a:rPr lang="en-US" altLang="zh-TW" sz="2000"/>
            <a:t>(</a:t>
          </a:r>
          <a:r>
            <a:rPr lang="zh-TW" altLang="en-US" sz="2000"/>
            <a:t>經濟指數一周 </a:t>
          </a:r>
          <a:r>
            <a:rPr lang="en-US" altLang="zh-TW" sz="2000"/>
            <a:t>+ 3% )</a:t>
          </a:r>
        </a:p>
        <a:p>
          <a:r>
            <a:rPr lang="zh-TW" altLang="en-US" sz="2000"/>
            <a:t>第三級    </a:t>
          </a:r>
          <a:r>
            <a:rPr lang="en-US" altLang="zh-TW" sz="2000"/>
            <a:t>(</a:t>
          </a:r>
          <a:r>
            <a:rPr lang="zh-TW" altLang="en-US" sz="2000"/>
            <a:t>經濟指數一周 </a:t>
          </a:r>
          <a:r>
            <a:rPr lang="en-US" altLang="zh-TW" sz="2000"/>
            <a:t>- 3% )</a:t>
          </a:r>
        </a:p>
        <a:p>
          <a:r>
            <a:rPr lang="zh-TW" altLang="en-US" sz="2000"/>
            <a:t>第三級強化</a:t>
          </a:r>
          <a:r>
            <a:rPr lang="en-US" altLang="zh-TW" sz="2000"/>
            <a:t>(</a:t>
          </a:r>
          <a:r>
            <a:rPr lang="zh-TW" altLang="en-US" sz="2000"/>
            <a:t>經濟指數一周 </a:t>
          </a:r>
          <a:r>
            <a:rPr lang="en-US" altLang="zh-TW" sz="2000"/>
            <a:t>- 5% )</a:t>
          </a:r>
        </a:p>
        <a:p>
          <a:r>
            <a:rPr lang="zh-TW" altLang="en-US" sz="2000"/>
            <a:t>第四級    </a:t>
          </a:r>
          <a:r>
            <a:rPr lang="en-US" altLang="zh-TW" sz="2000"/>
            <a:t>(</a:t>
          </a:r>
          <a:r>
            <a:rPr lang="zh-TW" altLang="en-US" sz="2000"/>
            <a:t>經濟指數一周 </a:t>
          </a:r>
          <a:r>
            <a:rPr lang="en-US" altLang="zh-TW" sz="2000"/>
            <a:t>- 20% )</a:t>
          </a:r>
        </a:p>
        <a:p>
          <a:endParaRPr lang="en-US" altLang="zh-TW" sz="2000"/>
        </a:p>
        <a:p>
          <a:r>
            <a:rPr lang="en-US" altLang="zh-TW" sz="2000" b="1"/>
            <a:t>【</a:t>
          </a:r>
          <a:r>
            <a:rPr lang="zh-TW" altLang="en-US" sz="2000" b="1"/>
            <a:t>最終得分計算方式</a:t>
          </a:r>
          <a:r>
            <a:rPr lang="en-US" altLang="zh-TW" sz="2000" b="1"/>
            <a:t>】</a:t>
          </a:r>
        </a:p>
        <a:p>
          <a:endParaRPr lang="en-US" altLang="zh-TW" sz="2000"/>
        </a:p>
        <a:p>
          <a:r>
            <a:rPr lang="en-US" altLang="zh-TW" sz="2000"/>
            <a:t>1</a:t>
          </a:r>
          <a:r>
            <a:rPr lang="zh-TW" altLang="en-US" sz="2000"/>
            <a:t>個健康的人 </a:t>
          </a:r>
          <a:r>
            <a:rPr lang="en-US" altLang="zh-TW" sz="2000"/>
            <a:t>=&gt; 10</a:t>
          </a:r>
          <a:r>
            <a:rPr lang="zh-TW" altLang="en-US" sz="2000"/>
            <a:t>分</a:t>
          </a:r>
        </a:p>
        <a:p>
          <a:r>
            <a:rPr lang="en-US" altLang="zh-TW" sz="2000"/>
            <a:t>1</a:t>
          </a:r>
          <a:r>
            <a:rPr lang="zh-TW" altLang="en-US" sz="2000"/>
            <a:t>個染疫的人 </a:t>
          </a:r>
          <a:r>
            <a:rPr lang="en-US" altLang="zh-TW" sz="2000"/>
            <a:t>=&gt; -10</a:t>
          </a:r>
          <a:r>
            <a:rPr lang="zh-TW" altLang="en-US" sz="2000"/>
            <a:t>分</a:t>
          </a:r>
        </a:p>
        <a:p>
          <a:r>
            <a:rPr lang="en-US" altLang="zh-TW" sz="2000"/>
            <a:t>1</a:t>
          </a:r>
          <a:r>
            <a:rPr lang="zh-TW" altLang="en-US" sz="2000"/>
            <a:t>個死亡的人 </a:t>
          </a:r>
          <a:r>
            <a:rPr lang="en-US" altLang="zh-TW" sz="2000"/>
            <a:t>=&gt; -100</a:t>
          </a:r>
          <a:r>
            <a:rPr lang="zh-TW" altLang="en-US" sz="2000"/>
            <a:t>分</a:t>
          </a:r>
        </a:p>
        <a:p>
          <a:endParaRPr lang="zh-TW" altLang="en-US" sz="2000"/>
        </a:p>
        <a:p>
          <a:r>
            <a:rPr lang="en-US" altLang="zh-TW" sz="2000"/>
            <a:t>1</a:t>
          </a:r>
          <a:r>
            <a:rPr lang="zh-TW" altLang="en-US" sz="2000"/>
            <a:t>個醫護</a:t>
          </a:r>
          <a:r>
            <a:rPr lang="en-US" altLang="zh-TW" sz="2000"/>
            <a:t>(</a:t>
          </a:r>
          <a:r>
            <a:rPr lang="zh-TW" altLang="en-US" sz="2000"/>
            <a:t>醫院內跟篩檢站都算</a:t>
          </a:r>
          <a:r>
            <a:rPr lang="en-US" altLang="zh-TW" sz="2000"/>
            <a:t>) =&gt; 50</a:t>
          </a:r>
          <a:r>
            <a:rPr lang="zh-TW" altLang="en-US" sz="2000"/>
            <a:t>分</a:t>
          </a:r>
        </a:p>
        <a:p>
          <a:r>
            <a:rPr lang="en-US" altLang="zh-TW" sz="2000"/>
            <a:t>1</a:t>
          </a:r>
          <a:r>
            <a:rPr lang="zh-TW" altLang="en-US" sz="2000"/>
            <a:t>個康復的人 </a:t>
          </a:r>
          <a:r>
            <a:rPr lang="en-US" altLang="zh-TW" sz="2000"/>
            <a:t>=&gt; 3</a:t>
          </a:r>
          <a:r>
            <a:rPr lang="zh-TW" altLang="en-US" sz="2000"/>
            <a:t>分</a:t>
          </a:r>
        </a:p>
        <a:p>
          <a:endParaRPr lang="zh-TW" altLang="en-US" sz="2000"/>
        </a:p>
        <a:p>
          <a:r>
            <a:rPr lang="zh-TW" altLang="en-US" sz="2000"/>
            <a:t>醫護比</a:t>
          </a:r>
          <a:r>
            <a:rPr lang="en-US" altLang="zh-TW" sz="2000"/>
            <a:t>:</a:t>
          </a:r>
        </a:p>
        <a:p>
          <a:r>
            <a:rPr lang="en-US" altLang="zh-TW" sz="2000"/>
            <a:t>500%  (1:5)</a:t>
          </a:r>
          <a:r>
            <a:rPr lang="zh-TW" altLang="en-US" sz="2000"/>
            <a:t>以下 </a:t>
          </a:r>
          <a:r>
            <a:rPr lang="en-US" altLang="zh-TW" sz="2000"/>
            <a:t>=&gt; </a:t>
          </a:r>
          <a:r>
            <a:rPr lang="zh-TW" altLang="en-US" sz="2000"/>
            <a:t>省下</a:t>
          </a:r>
          <a:r>
            <a:rPr lang="en-US" altLang="zh-TW" sz="2000"/>
            <a:t>1% =&gt; 100</a:t>
          </a:r>
          <a:r>
            <a:rPr lang="zh-TW" altLang="en-US" sz="2000"/>
            <a:t>分 </a:t>
          </a:r>
        </a:p>
        <a:p>
          <a:r>
            <a:rPr lang="en-US" altLang="zh-TW" sz="2000"/>
            <a:t>500%  (1:5)</a:t>
          </a:r>
          <a:r>
            <a:rPr lang="zh-TW" altLang="en-US" sz="2000"/>
            <a:t>以下 </a:t>
          </a:r>
          <a:r>
            <a:rPr lang="en-US" altLang="zh-TW" sz="2000"/>
            <a:t>=&gt; </a:t>
          </a:r>
          <a:r>
            <a:rPr lang="zh-TW" altLang="en-US" sz="2000"/>
            <a:t>增加</a:t>
          </a:r>
          <a:r>
            <a:rPr lang="en-US" altLang="zh-TW" sz="2000"/>
            <a:t>1% =&gt; -300</a:t>
          </a:r>
          <a:r>
            <a:rPr lang="zh-TW" altLang="en-US" sz="2000"/>
            <a:t>分  </a:t>
          </a:r>
        </a:p>
        <a:p>
          <a:endParaRPr lang="zh-TW" altLang="en-US" sz="2000"/>
        </a:p>
        <a:p>
          <a:r>
            <a:rPr lang="zh-TW" altLang="en-US" sz="2000"/>
            <a:t>經濟</a:t>
          </a:r>
          <a:r>
            <a:rPr lang="en-US" altLang="zh-TW" sz="2000"/>
            <a:t>:</a:t>
          </a:r>
        </a:p>
        <a:p>
          <a:r>
            <a:rPr lang="en-US" altLang="zh-TW" sz="2000"/>
            <a:t>0% </a:t>
          </a:r>
          <a:r>
            <a:rPr lang="zh-TW" altLang="en-US" sz="2000"/>
            <a:t>以上 </a:t>
          </a:r>
          <a:r>
            <a:rPr lang="en-US" altLang="zh-TW" sz="2000"/>
            <a:t>=&gt; </a:t>
          </a:r>
          <a:r>
            <a:rPr lang="zh-TW" altLang="en-US" sz="2000"/>
            <a:t>每</a:t>
          </a:r>
          <a:r>
            <a:rPr lang="en-US" altLang="zh-TW" sz="2000"/>
            <a:t>1% =&gt; 5000</a:t>
          </a:r>
          <a:r>
            <a:rPr lang="zh-TW" altLang="en-US" sz="2000"/>
            <a:t>分 </a:t>
          </a:r>
        </a:p>
        <a:p>
          <a:r>
            <a:rPr lang="en-US" altLang="zh-TW" sz="2000"/>
            <a:t>0% </a:t>
          </a:r>
          <a:r>
            <a:rPr lang="zh-TW" altLang="en-US" sz="2000"/>
            <a:t>以下 </a:t>
          </a:r>
          <a:r>
            <a:rPr lang="en-US" altLang="zh-TW" sz="2000"/>
            <a:t>=&gt; </a:t>
          </a:r>
          <a:r>
            <a:rPr lang="zh-TW" altLang="en-US" sz="2000"/>
            <a:t>每</a:t>
          </a:r>
          <a:r>
            <a:rPr lang="en-US" altLang="zh-TW" sz="2000"/>
            <a:t>1% =&gt; -10000</a:t>
          </a:r>
          <a:r>
            <a:rPr lang="zh-TW" altLang="en-US" sz="2000"/>
            <a:t>分  </a:t>
          </a:r>
        </a:p>
        <a:p>
          <a:r>
            <a:rPr lang="en-US" altLang="zh-TW" sz="2000" b="1">
              <a:solidFill>
                <a:srgbClr val="FF0000"/>
              </a:solidFill>
            </a:rPr>
            <a:t>(</a:t>
          </a:r>
          <a:r>
            <a:rPr lang="zh-TW" altLang="en-US" sz="2000" b="1">
              <a:solidFill>
                <a:srgbClr val="FF0000"/>
              </a:solidFill>
            </a:rPr>
            <a:t>所以不能一直封城喔，經濟會崩潰</a:t>
          </a:r>
          <a:r>
            <a:rPr lang="en-US" altLang="zh-TW" sz="2000" b="1">
              <a:solidFill>
                <a:srgbClr val="FF0000"/>
              </a:solidFill>
            </a:rPr>
            <a:t>)</a:t>
          </a:r>
        </a:p>
      </xdr:txBody>
    </xdr:sp>
    <xdr:clientData/>
  </xdr:twoCellAnchor>
  <xdr:twoCellAnchor>
    <xdr:from>
      <xdr:col>70</xdr:col>
      <xdr:colOff>318558</xdr:colOff>
      <xdr:row>0</xdr:row>
      <xdr:rowOff>168274</xdr:rowOff>
    </xdr:from>
    <xdr:to>
      <xdr:col>80</xdr:col>
      <xdr:colOff>358774</xdr:colOff>
      <xdr:row>47</xdr:row>
      <xdr:rowOff>83608</xdr:rowOff>
    </xdr:to>
    <xdr:sp macro="" textlink="">
      <xdr:nvSpPr>
        <xdr:cNvPr id="8" name="文字方塊 7">
          <a:extLst>
            <a:ext uri="{FF2B5EF4-FFF2-40B4-BE49-F238E27FC236}">
              <a16:creationId xmlns:a16="http://schemas.microsoft.com/office/drawing/2014/main" id="{E533EC9C-9CF1-4BF9-AC23-E7FBDB3042C3}"/>
            </a:ext>
          </a:extLst>
        </xdr:cNvPr>
        <xdr:cNvSpPr txBox="1"/>
      </xdr:nvSpPr>
      <xdr:spPr>
        <a:xfrm>
          <a:off x="40746891" y="168274"/>
          <a:ext cx="6178550" cy="10117667"/>
        </a:xfrm>
        <a:prstGeom prst="rect">
          <a:avLst/>
        </a:prstGeom>
        <a:solidFill>
          <a:srgbClr val="CD77FD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zh-TW" sz="2000" b="1"/>
            <a:t>【</a:t>
          </a:r>
          <a:r>
            <a:rPr lang="zh-TW" altLang="en-US" sz="2000" b="1"/>
            <a:t>函式說明</a:t>
          </a:r>
          <a:r>
            <a:rPr lang="en-US" altLang="zh-TW" sz="2000" b="1"/>
            <a:t>】</a:t>
          </a:r>
        </a:p>
        <a:p>
          <a:r>
            <a:rPr lang="en-US" altLang="zh-TW" sz="2000"/>
            <a:t>『</a:t>
          </a:r>
          <a:r>
            <a:rPr lang="en-US" altLang="zh-TW" sz="20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GAME_create()</a:t>
          </a:r>
          <a:r>
            <a:rPr lang="en-US" altLang="zh-TW" sz="2000"/>
            <a:t>』 =&gt; </a:t>
          </a:r>
          <a:r>
            <a:rPr lang="zh-TW" altLang="en-US" sz="2000"/>
            <a:t>重製地圖與各項數值</a:t>
          </a:r>
          <a:endParaRPr lang="en-US" altLang="zh-TW" sz="2000"/>
        </a:p>
        <a:p>
          <a:endParaRPr lang="zh-TW" altLang="en-US" sz="2000"/>
        </a:p>
        <a:p>
          <a:r>
            <a:rPr lang="en-US" altLang="zh-TW" sz="2000"/>
            <a:t>『</a:t>
          </a:r>
          <a:r>
            <a:rPr lang="en-US" altLang="zh-TW" sz="20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GAME_start()</a:t>
          </a:r>
          <a:r>
            <a:rPr lang="en-US" altLang="zh-TW" sz="2000"/>
            <a:t>』=&gt; </a:t>
          </a:r>
          <a:r>
            <a:rPr lang="zh-TW" altLang="en-US" sz="2000"/>
            <a:t>遊戲開始並讀取目前數據做出判斷，進入下一周</a:t>
          </a:r>
          <a:endParaRPr lang="en-US" altLang="zh-TW" sz="2000"/>
        </a:p>
        <a:p>
          <a:endParaRPr lang="zh-TW" altLang="en-US" sz="2000"/>
        </a:p>
        <a:p>
          <a:r>
            <a:rPr lang="en-US" altLang="zh-TW" sz="2000"/>
            <a:t>『</a:t>
          </a:r>
          <a:r>
            <a:rPr lang="en-US" altLang="zh-TW" sz="20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random_infect()</a:t>
          </a:r>
          <a:r>
            <a:rPr lang="en-US" altLang="zh-TW" sz="2000"/>
            <a:t>』 =&gt; </a:t>
          </a:r>
          <a:r>
            <a:rPr lang="zh-TW" altLang="en-US" sz="2000"/>
            <a:t>第一天開局的隨機感染</a:t>
          </a:r>
          <a:endParaRPr lang="en-US" altLang="zh-TW" sz="2000"/>
        </a:p>
        <a:p>
          <a:endParaRPr lang="zh-TW" altLang="en-US" sz="2000"/>
        </a:p>
        <a:p>
          <a:r>
            <a:rPr lang="en-US" altLang="zh-TW" sz="2000"/>
            <a:t>『</a:t>
          </a:r>
          <a:r>
            <a:rPr lang="en-US" altLang="zh-TW" sz="20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spread_infect() </a:t>
          </a:r>
          <a:r>
            <a:rPr lang="en-US" altLang="zh-TW" sz="2000"/>
            <a:t>』=&gt; </a:t>
          </a:r>
          <a:r>
            <a:rPr lang="zh-TW" altLang="en-US" sz="2000"/>
            <a:t>一般傳播感染，偵測地圖上的感染地並進行傳播判定</a:t>
          </a:r>
          <a:endParaRPr lang="en-US" altLang="zh-TW" sz="2000"/>
        </a:p>
        <a:p>
          <a:endParaRPr lang="zh-TW" altLang="en-US" sz="2000"/>
        </a:p>
        <a:p>
          <a:r>
            <a:rPr lang="en-US" altLang="zh-TW" sz="2000"/>
            <a:t>『</a:t>
          </a:r>
          <a:r>
            <a:rPr lang="en-US" altLang="zh-TW" sz="20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nine_infect() </a:t>
          </a:r>
          <a:r>
            <a:rPr lang="en-US" altLang="zh-TW" sz="2000"/>
            <a:t>』=&gt; </a:t>
          </a:r>
          <a:r>
            <a:rPr lang="zh-TW" altLang="en-US" sz="2000"/>
            <a:t>九宮格傳播判定，判定周圍是否感染，有篩檢站的話感染機率會大幅下降</a:t>
          </a:r>
          <a:endParaRPr lang="en-US" altLang="zh-TW" sz="2000"/>
        </a:p>
        <a:p>
          <a:endParaRPr lang="zh-TW" altLang="en-US" sz="2000"/>
        </a:p>
        <a:p>
          <a:r>
            <a:rPr lang="en-US" altLang="zh-TW" sz="2000"/>
            <a:t>『</a:t>
          </a:r>
          <a:r>
            <a:rPr lang="en-US" altLang="zh-TW" sz="20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travel_infect()</a:t>
          </a:r>
          <a:r>
            <a:rPr lang="en-US" altLang="zh-TW" sz="2000"/>
            <a:t>』 =&gt; </a:t>
          </a:r>
          <a:r>
            <a:rPr lang="zh-TW" altLang="en-US" sz="2000"/>
            <a:t>跨區感染，每隔格子選取隨機一個旅行，如果是初步感染地</a:t>
          </a:r>
          <a:r>
            <a:rPr lang="en-US" altLang="zh-TW" sz="2000"/>
            <a:t>(</a:t>
          </a:r>
          <a:r>
            <a:rPr lang="zh-TW" altLang="en-US" sz="2000"/>
            <a:t>機率是疫區的一半</a:t>
          </a:r>
          <a:r>
            <a:rPr lang="en-US" altLang="zh-TW" sz="2000"/>
            <a:t>)</a:t>
          </a:r>
        </a:p>
        <a:p>
          <a:r>
            <a:rPr lang="zh-TW" altLang="en-US" sz="2000"/>
            <a:t>或是疫區就進行感染判定，每周最多發生三起。</a:t>
          </a:r>
        </a:p>
        <a:p>
          <a:endParaRPr lang="zh-TW" altLang="en-US" sz="2000"/>
        </a:p>
        <a:p>
          <a:r>
            <a:rPr lang="en-US" altLang="zh-TW" sz="2000"/>
            <a:t>『</a:t>
          </a:r>
          <a:r>
            <a:rPr lang="en-US" altLang="zh-TW" sz="20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hospital_infect() </a:t>
          </a:r>
          <a:r>
            <a:rPr lang="en-US" altLang="zh-TW" sz="2000"/>
            <a:t>』=&gt; </a:t>
          </a:r>
          <a:r>
            <a:rPr lang="zh-TW" altLang="en-US" sz="2000"/>
            <a:t>院內感染，根據</a:t>
          </a:r>
          <a:r>
            <a:rPr lang="en-US" altLang="zh-TW" sz="2000"/>
            <a:t>dangers(</a:t>
          </a:r>
          <a:r>
            <a:rPr lang="zh-TW" altLang="en-US" sz="2000"/>
            <a:t>感染機率</a:t>
          </a:r>
          <a:r>
            <a:rPr lang="en-US" altLang="zh-TW" sz="2000"/>
            <a:t>) </a:t>
          </a:r>
          <a:r>
            <a:rPr lang="zh-TW" altLang="en-US" sz="2000"/>
            <a:t>決定</a:t>
          </a:r>
          <a:r>
            <a:rPr lang="en-US" altLang="zh-TW" sz="2000"/>
            <a:t>range(</a:t>
          </a:r>
          <a:r>
            <a:rPr lang="zh-TW" altLang="en-US" sz="2000"/>
            <a:t>影響範圍</a:t>
          </a:r>
          <a:r>
            <a:rPr lang="en-US" altLang="zh-TW" sz="2000"/>
            <a:t>)</a:t>
          </a:r>
          <a:r>
            <a:rPr lang="zh-TW" altLang="en-US" sz="2000"/>
            <a:t>，並把範圍內的一戶</a:t>
          </a:r>
        </a:p>
        <a:p>
          <a:r>
            <a:rPr lang="zh-TW" altLang="en-US" sz="2000"/>
            <a:t>都進行感染判定得出院內感染人數</a:t>
          </a:r>
        </a:p>
        <a:p>
          <a:endParaRPr lang="zh-TW" altLang="en-US" sz="2000"/>
        </a:p>
        <a:p>
          <a:r>
            <a:rPr lang="en-US" altLang="zh-TW" sz="2000"/>
            <a:t>『</a:t>
          </a:r>
          <a:r>
            <a:rPr lang="en-US" altLang="zh-TW" sz="20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check()</a:t>
          </a:r>
          <a:r>
            <a:rPr lang="en-US" altLang="zh-TW" sz="2000"/>
            <a:t>』 =&gt; </a:t>
          </a:r>
          <a:r>
            <a:rPr lang="zh-TW" altLang="en-US" sz="2000"/>
            <a:t>傳入感染</a:t>
          </a:r>
          <a:r>
            <a:rPr lang="en-US" altLang="zh-TW" sz="2000"/>
            <a:t>(</a:t>
          </a:r>
          <a:r>
            <a:rPr lang="zh-TW" altLang="en-US" sz="2000"/>
            <a:t>前</a:t>
          </a:r>
          <a:r>
            <a:rPr lang="en-US" altLang="zh-TW" sz="2000"/>
            <a:t>)</a:t>
          </a:r>
          <a:r>
            <a:rPr lang="zh-TW" altLang="en-US" sz="2000"/>
            <a:t>的地圖資料與感染</a:t>
          </a:r>
          <a:r>
            <a:rPr lang="en-US" altLang="zh-TW" sz="2000"/>
            <a:t>(</a:t>
          </a:r>
          <a:r>
            <a:rPr lang="zh-TW" altLang="en-US" sz="2000"/>
            <a:t>後</a:t>
          </a:r>
          <a:r>
            <a:rPr lang="en-US" altLang="zh-TW" sz="2000"/>
            <a:t>)</a:t>
          </a:r>
          <a:r>
            <a:rPr lang="zh-TW" altLang="en-US" sz="2000"/>
            <a:t>的地圖資料，並計算出新增多少 初步感染地、疫區、有多少初步感染地惡化為疫區</a:t>
          </a:r>
          <a:endParaRPr lang="en-US" altLang="zh-TW" sz="2000"/>
        </a:p>
        <a:p>
          <a:endParaRPr lang="zh-TW" altLang="en-US" sz="2000"/>
        </a:p>
        <a:p>
          <a:r>
            <a:rPr lang="en-US" altLang="zh-TW" sz="2000"/>
            <a:t>『</a:t>
          </a:r>
          <a:r>
            <a:rPr lang="en-US" altLang="zh-TW" sz="20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new_test_area()</a:t>
          </a:r>
          <a:r>
            <a:rPr lang="en-US" altLang="zh-TW" sz="2000"/>
            <a:t>』 =&gt; </a:t>
          </a:r>
          <a:r>
            <a:rPr lang="zh-TW" altLang="en-US" sz="2000"/>
            <a:t>傳入感染</a:t>
          </a:r>
          <a:r>
            <a:rPr lang="en-US" altLang="zh-TW" sz="2000"/>
            <a:t>(</a:t>
          </a:r>
          <a:r>
            <a:rPr lang="zh-TW" altLang="en-US" sz="2000"/>
            <a:t>前</a:t>
          </a:r>
          <a:r>
            <a:rPr lang="en-US" altLang="zh-TW" sz="2000"/>
            <a:t>)</a:t>
          </a:r>
          <a:r>
            <a:rPr lang="zh-TW" altLang="en-US" sz="2000"/>
            <a:t>的地圖資料與感染</a:t>
          </a:r>
          <a:r>
            <a:rPr lang="en-US" altLang="zh-TW" sz="2000"/>
            <a:t>(</a:t>
          </a:r>
          <a:r>
            <a:rPr lang="zh-TW" altLang="en-US" sz="2000"/>
            <a:t>後</a:t>
          </a:r>
          <a:r>
            <a:rPr lang="en-US" altLang="zh-TW" sz="2000"/>
            <a:t>)</a:t>
          </a:r>
          <a:r>
            <a:rPr lang="zh-TW" altLang="en-US" sz="2000"/>
            <a:t>的地圖資料，並讓使用者輸入想要新增篩檢站的區域數目與範圍，計算出新增的篩檢站數目</a:t>
          </a:r>
        </a:p>
        <a:p>
          <a:r>
            <a:rPr lang="zh-TW" altLang="en-US" sz="2000"/>
            <a:t>，如果數目超過上限會提醒使用者並要求重新輸入，想新增的話直接輸入</a:t>
          </a:r>
          <a:r>
            <a:rPr lang="en-US" altLang="zh-TW" sz="2000"/>
            <a:t>0</a:t>
          </a:r>
          <a:r>
            <a:rPr lang="zh-TW" altLang="en-US" sz="2000"/>
            <a:t>就可以跳過。</a:t>
          </a:r>
          <a:endParaRPr lang="en-US" altLang="zh-TW" sz="20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56</xdr:col>
          <xdr:colOff>419100</xdr:colOff>
          <xdr:row>38</xdr:row>
          <xdr:rowOff>158750</xdr:rowOff>
        </xdr:from>
        <xdr:to>
          <xdr:col>61</xdr:col>
          <xdr:colOff>317500</xdr:colOff>
          <xdr:row>43</xdr:row>
          <xdr:rowOff>158750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 </a:t>
              </a:r>
              <a:r>
                <a:rPr lang="zh-TW" altLang="en-US" sz="48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重新遊玩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50</xdr:col>
          <xdr:colOff>523875</xdr:colOff>
          <xdr:row>39</xdr:row>
          <xdr:rowOff>20586</xdr:rowOff>
        </xdr:from>
        <xdr:to>
          <xdr:col>56</xdr:col>
          <xdr:colOff>193675</xdr:colOff>
          <xdr:row>43</xdr:row>
          <xdr:rowOff>158750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18872" tIns="137160" rIns="118872" bIns="137160" anchor="ctr" upright="1"/>
            <a:lstStyle/>
            <a:p>
              <a:pPr algn="ctr" rtl="0">
                <a:defRPr sz="1000"/>
              </a:pPr>
              <a:r>
                <a:rPr lang="zh-TW" altLang="en-US" sz="48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下一周</a:t>
              </a:r>
            </a:p>
          </xdr:txBody>
        </xdr:sp>
        <xdr:clientData fPrintsWithSheet="0"/>
      </xdr:twoCellAnchor>
    </mc:Choice>
    <mc:Fallback/>
  </mc:AlternateContent>
  <xdr:twoCellAnchor>
    <xdr:from>
      <xdr:col>45</xdr:col>
      <xdr:colOff>587375</xdr:colOff>
      <xdr:row>25</xdr:row>
      <xdr:rowOff>-1</xdr:rowOff>
    </xdr:from>
    <xdr:to>
      <xdr:col>53</xdr:col>
      <xdr:colOff>206375</xdr:colOff>
      <xdr:row>37</xdr:row>
      <xdr:rowOff>53974</xdr:rowOff>
    </xdr:to>
    <xdr:graphicFrame macro="">
      <xdr:nvGraphicFramePr>
        <xdr:cNvPr id="6" name="圖表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53</xdr:col>
      <xdr:colOff>428625</xdr:colOff>
      <xdr:row>24</xdr:row>
      <xdr:rowOff>215900</xdr:rowOff>
    </xdr:from>
    <xdr:to>
      <xdr:col>61</xdr:col>
      <xdr:colOff>174625</xdr:colOff>
      <xdr:row>37</xdr:row>
      <xdr:rowOff>69850</xdr:rowOff>
    </xdr:to>
    <xdr:graphicFrame macro="">
      <xdr:nvGraphicFramePr>
        <xdr:cNvPr id="7" name="圖表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37</xdr:col>
      <xdr:colOff>31750</xdr:colOff>
      <xdr:row>16</xdr:row>
      <xdr:rowOff>111125</xdr:rowOff>
    </xdr:from>
    <xdr:to>
      <xdr:col>45</xdr:col>
      <xdr:colOff>254000</xdr:colOff>
      <xdr:row>22</xdr:row>
      <xdr:rowOff>31750</xdr:rowOff>
    </xdr:to>
    <xdr:sp macro="" textlink="">
      <xdr:nvSpPr>
        <xdr:cNvPr id="2" name="箭號: 向左 1">
          <a:extLst>
            <a:ext uri="{FF2B5EF4-FFF2-40B4-BE49-F238E27FC236}">
              <a16:creationId xmlns:a16="http://schemas.microsoft.com/office/drawing/2014/main" id="{CC3A3B71-06D3-4597-9BB1-D0C6376DB7FA}"/>
            </a:ext>
          </a:extLst>
        </xdr:cNvPr>
        <xdr:cNvSpPr/>
      </xdr:nvSpPr>
      <xdr:spPr>
        <a:xfrm>
          <a:off x="14208125" y="3762375"/>
          <a:ext cx="5635625" cy="1254125"/>
        </a:xfrm>
        <a:prstGeom prst="leftArrow">
          <a:avLst/>
        </a:prstGeom>
        <a:solidFill>
          <a:srgbClr val="FF0909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3200"/>
            <a:t>第一步</a:t>
          </a:r>
          <a:r>
            <a:rPr lang="en-US" altLang="zh-TW" sz="3200"/>
            <a:t>:</a:t>
          </a:r>
          <a:r>
            <a:rPr lang="zh-TW" altLang="en-US" sz="3200"/>
            <a:t>選擇這周的警戒等級</a:t>
          </a:r>
        </a:p>
      </xdr:txBody>
    </xdr:sp>
    <xdr:clientData/>
  </xdr:twoCellAnchor>
  <xdr:twoCellAnchor>
    <xdr:from>
      <xdr:col>39</xdr:col>
      <xdr:colOff>215900</xdr:colOff>
      <xdr:row>20</xdr:row>
      <xdr:rowOff>152400</xdr:rowOff>
    </xdr:from>
    <xdr:to>
      <xdr:col>48</xdr:col>
      <xdr:colOff>523875</xdr:colOff>
      <xdr:row>26</xdr:row>
      <xdr:rowOff>73025</xdr:rowOff>
    </xdr:to>
    <xdr:sp macro="" textlink="">
      <xdr:nvSpPr>
        <xdr:cNvPr id="8" name="箭號: 向左 7">
          <a:extLst>
            <a:ext uri="{FF2B5EF4-FFF2-40B4-BE49-F238E27FC236}">
              <a16:creationId xmlns:a16="http://schemas.microsoft.com/office/drawing/2014/main" id="{BE935F6C-F5AC-4109-B4D8-99854583097B}"/>
            </a:ext>
          </a:extLst>
        </xdr:cNvPr>
        <xdr:cNvSpPr/>
      </xdr:nvSpPr>
      <xdr:spPr>
        <a:xfrm>
          <a:off x="16265525" y="4692650"/>
          <a:ext cx="5657850" cy="1254125"/>
        </a:xfrm>
        <a:prstGeom prst="leftArrow">
          <a:avLst/>
        </a:prstGeom>
        <a:solidFill>
          <a:srgbClr val="FF0909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3200"/>
            <a:t>第二步</a:t>
          </a:r>
          <a:r>
            <a:rPr lang="en-US" altLang="zh-TW" sz="3200"/>
            <a:t>:</a:t>
          </a:r>
          <a:r>
            <a:rPr lang="zh-TW" altLang="en-US" sz="3200"/>
            <a:t>觀看數據並最初判斷</a:t>
          </a:r>
        </a:p>
      </xdr:txBody>
    </xdr:sp>
    <xdr:clientData/>
  </xdr:twoCellAnchor>
  <xdr:twoCellAnchor>
    <xdr:from>
      <xdr:col>39</xdr:col>
      <xdr:colOff>158749</xdr:colOff>
      <xdr:row>36</xdr:row>
      <xdr:rowOff>31750</xdr:rowOff>
    </xdr:from>
    <xdr:to>
      <xdr:col>50</xdr:col>
      <xdr:colOff>523875</xdr:colOff>
      <xdr:row>41</xdr:row>
      <xdr:rowOff>47625</xdr:rowOff>
    </xdr:to>
    <xdr:sp macro="" textlink="">
      <xdr:nvSpPr>
        <xdr:cNvPr id="3" name="箭號: 向右 2">
          <a:extLst>
            <a:ext uri="{FF2B5EF4-FFF2-40B4-BE49-F238E27FC236}">
              <a16:creationId xmlns:a16="http://schemas.microsoft.com/office/drawing/2014/main" id="{476C67A6-C001-452D-97EC-AF68951FE3E9}"/>
            </a:ext>
          </a:extLst>
        </xdr:cNvPr>
        <xdr:cNvSpPr/>
      </xdr:nvSpPr>
      <xdr:spPr>
        <a:xfrm>
          <a:off x="16208374" y="8128000"/>
          <a:ext cx="6921501" cy="1127125"/>
        </a:xfrm>
        <a:prstGeom prst="rightArrow">
          <a:avLst/>
        </a:prstGeom>
        <a:solidFill>
          <a:srgbClr val="FF0909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zh-TW" sz="28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第</a:t>
          </a:r>
          <a:r>
            <a:rPr lang="zh-TW" altLang="en-US" sz="28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三</a:t>
          </a:r>
          <a:r>
            <a:rPr lang="zh-TW" altLang="zh-TW" sz="28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步</a:t>
          </a:r>
          <a:r>
            <a:rPr lang="en-US" altLang="zh-TW" sz="28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r>
            <a:rPr lang="zh-TW" altLang="en-US" sz="28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進入下一周，並輸入篩檢站範圍</a:t>
          </a:r>
          <a:endParaRPr lang="zh-TW" altLang="zh-TW" sz="2800">
            <a:effectLst/>
          </a:endParaRPr>
        </a:p>
      </xdr:txBody>
    </xdr:sp>
    <xdr:clientData/>
  </xdr:twoCellAnchor>
  <xdr:twoCellAnchor>
    <xdr:from>
      <xdr:col>40</xdr:col>
      <xdr:colOff>95250</xdr:colOff>
      <xdr:row>6</xdr:row>
      <xdr:rowOff>15875</xdr:rowOff>
    </xdr:from>
    <xdr:to>
      <xdr:col>48</xdr:col>
      <xdr:colOff>0</xdr:colOff>
      <xdr:row>16</xdr:row>
      <xdr:rowOff>15875</xdr:rowOff>
    </xdr:to>
    <xdr:sp macro="" textlink="">
      <xdr:nvSpPr>
        <xdr:cNvPr id="4" name="矩形 3">
          <a:extLst>
            <a:ext uri="{FF2B5EF4-FFF2-40B4-BE49-F238E27FC236}">
              <a16:creationId xmlns:a16="http://schemas.microsoft.com/office/drawing/2014/main" id="{4F39A71E-3220-4502-BF00-0DFFD2326C87}"/>
            </a:ext>
          </a:extLst>
        </xdr:cNvPr>
        <xdr:cNvSpPr/>
      </xdr:nvSpPr>
      <xdr:spPr>
        <a:xfrm>
          <a:off x="16748125" y="1397000"/>
          <a:ext cx="4651375" cy="2270125"/>
        </a:xfrm>
        <a:prstGeom prst="rect">
          <a:avLst/>
        </a:prstGeom>
        <a:solidFill>
          <a:srgbClr val="00206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2000"/>
            <a:t>貼心提醒</a:t>
          </a:r>
          <a:r>
            <a:rPr lang="en-US" altLang="zh-TW" sz="2000"/>
            <a:t>:</a:t>
          </a:r>
        </a:p>
        <a:p>
          <a:pPr algn="l"/>
          <a:r>
            <a:rPr lang="zh-TW" altLang="en-US" sz="2000"/>
            <a:t>直接</a:t>
          </a:r>
          <a:r>
            <a:rPr lang="zh-TW" altLang="en-US" sz="2000">
              <a:solidFill>
                <a:srgbClr val="FF0000"/>
              </a:solidFill>
            </a:rPr>
            <a:t>四級封城</a:t>
          </a:r>
          <a:r>
            <a:rPr lang="zh-TW" altLang="en-US" sz="2000"/>
            <a:t>會對經濟造成很大衝擊要謹慎使用</a:t>
          </a:r>
          <a:endParaRPr lang="en-US" altLang="zh-TW" sz="2000"/>
        </a:p>
        <a:p>
          <a:pPr algn="l"/>
          <a:r>
            <a:rPr lang="zh-TW" altLang="en-US" sz="2000">
              <a:solidFill>
                <a:srgbClr val="FF0000"/>
              </a:solidFill>
            </a:rPr>
            <a:t>廣設篩檢站</a:t>
          </a:r>
          <a:r>
            <a:rPr lang="zh-TW" altLang="en-US" sz="2000"/>
            <a:t>會消耗醫療人員造成醫護比過高 </a:t>
          </a:r>
          <a:r>
            <a:rPr lang="en-US" altLang="zh-TW" sz="2000"/>
            <a:t>=&gt;</a:t>
          </a:r>
          <a:r>
            <a:rPr lang="zh-TW" altLang="en-US" sz="2000"/>
            <a:t>死亡率提高</a:t>
          </a:r>
          <a:r>
            <a:rPr lang="en-US" altLang="zh-TW" sz="2000"/>
            <a:t>=&gt;</a:t>
          </a:r>
          <a:r>
            <a:rPr lang="zh-TW" altLang="en-US" sz="2000"/>
            <a:t>院內感染機率增加</a:t>
          </a:r>
          <a:endParaRPr lang="en-US" altLang="zh-TW" sz="2000"/>
        </a:p>
        <a:p>
          <a:pPr algn="l"/>
          <a:r>
            <a:rPr lang="zh-TW" altLang="en-US" sz="2000"/>
            <a:t>請警慎使用</a:t>
          </a:r>
          <a:r>
            <a:rPr lang="en-US" altLang="zh-TW" sz="2000"/>
            <a:t>!!!!!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EB10A5-8851-4F84-9732-2C561A9EAE70}">
  <sheetPr codeName="工作表3"/>
  <dimension ref="U2:AG41"/>
  <sheetViews>
    <sheetView tabSelected="1" topLeftCell="AJ1" zoomScale="40" zoomScaleNormal="40" workbookViewId="0">
      <selection activeCell="CD13" sqref="CD13"/>
    </sheetView>
  </sheetViews>
  <sheetFormatPr defaultRowHeight="17" x14ac:dyDescent="0.4"/>
  <cols>
    <col min="21" max="30" width="5.08984375" customWidth="1"/>
  </cols>
  <sheetData>
    <row r="2" spans="22:30" ht="17" customHeight="1" x14ac:dyDescent="0.4">
      <c r="V2" s="44" t="s">
        <v>34</v>
      </c>
      <c r="W2" s="44"/>
      <c r="X2" s="44"/>
      <c r="Y2" s="44"/>
      <c r="Z2" s="44"/>
      <c r="AA2" s="44"/>
      <c r="AB2" s="44"/>
      <c r="AC2" s="44"/>
      <c r="AD2" s="44"/>
    </row>
    <row r="3" spans="22:30" ht="17.5" customHeight="1" x14ac:dyDescent="0.4">
      <c r="V3" s="44"/>
      <c r="W3" s="44"/>
      <c r="X3" s="44"/>
      <c r="Y3" s="44"/>
      <c r="Z3" s="44"/>
      <c r="AA3" s="44"/>
      <c r="AB3" s="44"/>
      <c r="AC3" s="44"/>
      <c r="AD3" s="44"/>
    </row>
    <row r="4" spans="22:30" x14ac:dyDescent="0.4">
      <c r="X4" s="38"/>
      <c r="Y4" s="38"/>
      <c r="Z4" s="38"/>
      <c r="AA4" s="38"/>
      <c r="AB4" s="38"/>
    </row>
    <row r="5" spans="22:30" x14ac:dyDescent="0.4">
      <c r="V5" s="46" t="s">
        <v>35</v>
      </c>
      <c r="W5" s="46"/>
      <c r="X5" s="38"/>
      <c r="Y5" s="38"/>
      <c r="Z5" s="38"/>
      <c r="AA5" s="47" t="s">
        <v>36</v>
      </c>
      <c r="AB5" s="47"/>
      <c r="AC5" s="47"/>
      <c r="AD5" s="47"/>
    </row>
    <row r="6" spans="22:30" x14ac:dyDescent="0.4">
      <c r="V6" s="46"/>
      <c r="W6" s="46"/>
      <c r="X6" s="38"/>
      <c r="Y6" s="49"/>
      <c r="Z6" s="45"/>
      <c r="AA6" s="47"/>
      <c r="AB6" s="47"/>
      <c r="AC6" s="47"/>
      <c r="AD6" s="47"/>
    </row>
    <row r="7" spans="22:30" ht="17.5" thickBot="1" x14ac:dyDescent="0.45">
      <c r="X7" s="38"/>
      <c r="Y7" s="38"/>
      <c r="Z7" s="38"/>
      <c r="AA7" s="38"/>
      <c r="AB7" s="38"/>
    </row>
    <row r="8" spans="22:30" x14ac:dyDescent="0.4">
      <c r="V8" s="48"/>
      <c r="X8" s="38"/>
      <c r="Y8" s="38"/>
      <c r="Z8" s="38"/>
      <c r="AA8" s="34"/>
      <c r="AB8" s="35"/>
      <c r="AC8" s="35"/>
      <c r="AD8" s="36"/>
    </row>
    <row r="9" spans="22:30" x14ac:dyDescent="0.4">
      <c r="X9" s="38"/>
      <c r="Y9" s="38"/>
      <c r="Z9" s="38"/>
      <c r="AA9" s="37"/>
      <c r="AB9" s="38"/>
      <c r="AC9" s="38"/>
      <c r="AD9" s="39"/>
    </row>
    <row r="10" spans="22:30" x14ac:dyDescent="0.4">
      <c r="AA10" s="37"/>
      <c r="AB10" s="38"/>
      <c r="AC10" s="38"/>
      <c r="AD10" s="39"/>
    </row>
    <row r="11" spans="22:30" ht="17.5" thickBot="1" x14ac:dyDescent="0.45">
      <c r="AA11" s="40"/>
      <c r="AB11" s="41"/>
      <c r="AC11" s="41"/>
      <c r="AD11" s="42"/>
    </row>
    <row r="13" spans="22:30" ht="17" customHeight="1" x14ac:dyDescent="0.4">
      <c r="V13" s="46" t="s">
        <v>37</v>
      </c>
      <c r="W13" s="46"/>
      <c r="X13" s="46"/>
      <c r="Y13" s="46"/>
      <c r="Z13" s="46"/>
      <c r="AA13" s="70" t="s">
        <v>41</v>
      </c>
      <c r="AB13" s="70"/>
    </row>
    <row r="14" spans="22:30" ht="17" customHeight="1" x14ac:dyDescent="0.4">
      <c r="V14" s="46"/>
      <c r="W14" s="46"/>
      <c r="X14" s="46"/>
      <c r="Y14" s="46"/>
      <c r="Z14" s="46"/>
      <c r="AA14" s="70"/>
      <c r="AB14" s="70"/>
    </row>
    <row r="15" spans="22:30" ht="17.5" thickBot="1" x14ac:dyDescent="0.45"/>
    <row r="16" spans="22:30" x14ac:dyDescent="0.4">
      <c r="W16" s="34"/>
      <c r="X16" s="35"/>
      <c r="Y16" s="36"/>
    </row>
    <row r="17" spans="22:31" x14ac:dyDescent="0.4">
      <c r="W17" s="37"/>
      <c r="X17" s="50"/>
      <c r="Y17" s="39"/>
    </row>
    <row r="18" spans="22:31" ht="17.5" thickBot="1" x14ac:dyDescent="0.45">
      <c r="W18" s="40"/>
      <c r="X18" s="41"/>
      <c r="Y18" s="42"/>
    </row>
    <row r="20" spans="22:31" ht="17" customHeight="1" x14ac:dyDescent="0.4">
      <c r="V20" s="46" t="s">
        <v>38</v>
      </c>
      <c r="W20" s="46"/>
      <c r="X20" s="46"/>
      <c r="Y20" s="46"/>
      <c r="Z20" s="46"/>
      <c r="AA20" s="70" t="s">
        <v>42</v>
      </c>
      <c r="AB20" s="70"/>
      <c r="AC20" s="70"/>
      <c r="AD20" s="70"/>
      <c r="AE20" s="67"/>
    </row>
    <row r="21" spans="22:31" ht="17" customHeight="1" x14ac:dyDescent="0.4">
      <c r="V21" s="46"/>
      <c r="W21" s="46"/>
      <c r="X21" s="46"/>
      <c r="Y21" s="46"/>
      <c r="Z21" s="46"/>
      <c r="AA21" s="70"/>
      <c r="AB21" s="70"/>
      <c r="AC21" s="70"/>
      <c r="AD21" s="70"/>
      <c r="AE21" s="67"/>
    </row>
    <row r="22" spans="22:31" ht="17" customHeight="1" x14ac:dyDescent="0.4">
      <c r="V22" s="46" t="s">
        <v>43</v>
      </c>
      <c r="W22" s="46"/>
      <c r="X22" s="46"/>
      <c r="Y22" s="46"/>
      <c r="Z22" s="46"/>
      <c r="AA22" s="46"/>
      <c r="AB22" s="46"/>
      <c r="AC22" s="46"/>
      <c r="AD22" s="46"/>
      <c r="AE22" s="67"/>
    </row>
    <row r="23" spans="22:31" ht="17" customHeight="1" x14ac:dyDescent="0.4">
      <c r="V23" s="46"/>
      <c r="W23" s="46"/>
      <c r="X23" s="46"/>
      <c r="Y23" s="46"/>
      <c r="Z23" s="46"/>
      <c r="AA23" s="46"/>
      <c r="AB23" s="46"/>
      <c r="AC23" s="46"/>
      <c r="AD23" s="46"/>
      <c r="AE23" s="67"/>
    </row>
    <row r="24" spans="22:31" ht="17" customHeight="1" x14ac:dyDescent="0.4">
      <c r="V24" s="46" t="s">
        <v>39</v>
      </c>
      <c r="W24" s="46"/>
      <c r="X24" s="46"/>
      <c r="Y24" s="46"/>
      <c r="Z24" s="46"/>
      <c r="AA24" s="46"/>
      <c r="AB24" s="46"/>
      <c r="AC24" s="46"/>
      <c r="AD24" s="46"/>
      <c r="AE24" s="46"/>
    </row>
    <row r="25" spans="22:31" ht="17.5" customHeight="1" thickBot="1" x14ac:dyDescent="0.45">
      <c r="V25" s="46"/>
      <c r="W25" s="46"/>
      <c r="X25" s="46"/>
      <c r="Y25" s="46"/>
      <c r="Z25" s="46"/>
      <c r="AA25" s="46"/>
      <c r="AB25" s="46"/>
      <c r="AC25" s="46"/>
      <c r="AD25" s="46"/>
      <c r="AE25" s="46"/>
    </row>
    <row r="26" spans="22:31" ht="18" thickTop="1" thickBot="1" x14ac:dyDescent="0.45">
      <c r="V26" s="52"/>
      <c r="W26" s="56"/>
      <c r="X26" s="60"/>
      <c r="Y26" s="59"/>
      <c r="AA26" s="52"/>
      <c r="AB26" s="61"/>
      <c r="AC26" s="66"/>
    </row>
    <row r="27" spans="22:31" x14ac:dyDescent="0.4">
      <c r="V27" s="53"/>
      <c r="W27" s="51"/>
      <c r="X27" s="58"/>
      <c r="Y27" s="36"/>
      <c r="Z27" s="62"/>
      <c r="AC27" s="64"/>
    </row>
    <row r="28" spans="22:31" ht="17.5" thickBot="1" x14ac:dyDescent="0.45">
      <c r="V28" s="53"/>
      <c r="W28" s="37"/>
      <c r="X28" s="57"/>
      <c r="Y28" s="39"/>
      <c r="AA28" s="63"/>
      <c r="AB28" s="65"/>
      <c r="AD28" s="63"/>
    </row>
    <row r="29" spans="22:31" ht="18" thickTop="1" thickBot="1" x14ac:dyDescent="0.45">
      <c r="V29" s="54"/>
      <c r="W29" s="55"/>
      <c r="X29" s="56"/>
      <c r="Y29" s="42"/>
      <c r="AA29" s="61"/>
      <c r="AC29" s="61"/>
    </row>
    <row r="31" spans="22:31" x14ac:dyDescent="0.4">
      <c r="V31" s="68" t="s">
        <v>40</v>
      </c>
      <c r="W31" s="68"/>
      <c r="X31" s="68"/>
      <c r="Y31" s="68"/>
      <c r="Z31" s="68"/>
      <c r="AA31" s="68"/>
      <c r="AB31" s="68"/>
      <c r="AC31" s="68"/>
      <c r="AD31" s="68"/>
    </row>
    <row r="32" spans="22:31" x14ac:dyDescent="0.4">
      <c r="V32" s="68"/>
      <c r="W32" s="68"/>
      <c r="X32" s="68"/>
      <c r="Y32" s="68"/>
      <c r="Z32" s="68"/>
      <c r="AA32" s="68"/>
      <c r="AB32" s="68"/>
      <c r="AC32" s="68"/>
      <c r="AD32" s="68"/>
    </row>
    <row r="33" spans="21:33" x14ac:dyDescent="0.4">
      <c r="V33" s="68"/>
      <c r="W33" s="68"/>
      <c r="X33" s="68"/>
      <c r="Y33" s="68"/>
      <c r="Z33" s="68"/>
      <c r="AA33" s="68"/>
      <c r="AB33" s="68"/>
      <c r="AC33" s="68"/>
      <c r="AD33" s="68"/>
    </row>
    <row r="34" spans="21:33" ht="17" customHeight="1" x14ac:dyDescent="0.4">
      <c r="U34" s="71"/>
      <c r="V34" s="70" t="s">
        <v>44</v>
      </c>
      <c r="W34" s="70"/>
      <c r="X34" s="70"/>
      <c r="Y34" s="70"/>
      <c r="Z34" s="70"/>
      <c r="AA34" s="70"/>
      <c r="AB34" s="70"/>
      <c r="AC34" s="70"/>
      <c r="AD34" s="70"/>
      <c r="AE34" s="70"/>
      <c r="AF34" s="70"/>
      <c r="AG34" s="70"/>
    </row>
    <row r="35" spans="21:33" ht="17.5" customHeight="1" x14ac:dyDescent="0.4">
      <c r="U35" s="71"/>
      <c r="V35" s="70"/>
      <c r="W35" s="70"/>
      <c r="X35" s="70"/>
      <c r="Y35" s="70"/>
      <c r="Z35" s="70"/>
      <c r="AA35" s="70"/>
      <c r="AB35" s="70"/>
      <c r="AC35" s="70"/>
      <c r="AD35" s="70"/>
      <c r="AE35" s="70"/>
      <c r="AF35" s="70"/>
      <c r="AG35" s="70"/>
    </row>
    <row r="36" spans="21:33" ht="17.5" customHeight="1" thickBot="1" x14ac:dyDescent="0.45">
      <c r="U36" s="69"/>
      <c r="V36" s="69"/>
      <c r="W36" s="69"/>
      <c r="X36" s="69"/>
      <c r="Y36" s="69"/>
      <c r="Z36" s="69"/>
      <c r="AA36" s="69"/>
      <c r="AB36" s="69"/>
      <c r="AC36" s="69"/>
      <c r="AD36" s="69"/>
      <c r="AE36" s="69"/>
    </row>
    <row r="37" spans="21:33" x14ac:dyDescent="0.4">
      <c r="W37" s="34"/>
      <c r="X37" s="35"/>
      <c r="Y37" s="35"/>
      <c r="Z37" s="35"/>
      <c r="AA37" s="36"/>
    </row>
    <row r="38" spans="21:33" x14ac:dyDescent="0.4">
      <c r="W38" s="37"/>
      <c r="X38" s="38"/>
      <c r="Y38" s="38"/>
      <c r="Z38" s="38"/>
      <c r="AA38" s="39"/>
    </row>
    <row r="39" spans="21:33" x14ac:dyDescent="0.4">
      <c r="W39" s="37"/>
      <c r="X39" s="38"/>
      <c r="Y39" s="43"/>
      <c r="Z39" s="38"/>
      <c r="AA39" s="39"/>
    </row>
    <row r="40" spans="21:33" x14ac:dyDescent="0.4">
      <c r="W40" s="37"/>
      <c r="X40" s="38"/>
      <c r="Y40" s="38"/>
      <c r="Z40" s="38"/>
      <c r="AA40" s="39"/>
    </row>
    <row r="41" spans="21:33" ht="17.5" thickBot="1" x14ac:dyDescent="0.45">
      <c r="W41" s="40"/>
      <c r="X41" s="41"/>
      <c r="Y41" s="41"/>
      <c r="Z41" s="41"/>
      <c r="AA41" s="42"/>
    </row>
  </sheetData>
  <mergeCells count="11">
    <mergeCell ref="V31:AD33"/>
    <mergeCell ref="AA13:AB14"/>
    <mergeCell ref="AA20:AD21"/>
    <mergeCell ref="V22:AD23"/>
    <mergeCell ref="V34:AG35"/>
    <mergeCell ref="V20:Z21"/>
    <mergeCell ref="V24:AE25"/>
    <mergeCell ref="V2:AD3"/>
    <mergeCell ref="V5:W6"/>
    <mergeCell ref="AA5:AD6"/>
    <mergeCell ref="V13:Z14"/>
  </mergeCells>
  <phoneticPr fontId="1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6CD2B8-64D4-49EE-AD07-6C901993DDAE}">
  <sheetPr codeName="工作表1"/>
  <dimension ref="A1:BH50"/>
  <sheetViews>
    <sheetView zoomScale="40" zoomScaleNormal="40" workbookViewId="0">
      <selection activeCell="AY24" sqref="AY24"/>
    </sheetView>
  </sheetViews>
  <sheetFormatPr defaultRowHeight="17" x14ac:dyDescent="0.4"/>
  <cols>
    <col min="1" max="1" width="5.08984375" customWidth="1"/>
    <col min="2" max="31" width="4.81640625" customWidth="1"/>
    <col min="32" max="32" width="4.90625" bestFit="1" customWidth="1"/>
    <col min="33" max="33" width="7.08984375" customWidth="1"/>
    <col min="34" max="34" width="9.6328125" customWidth="1"/>
    <col min="35" max="35" width="11.26953125" customWidth="1"/>
    <col min="36" max="36" width="11.90625" customWidth="1"/>
    <col min="37" max="37" width="10.08984375" customWidth="1"/>
    <col min="38" max="38" width="14.08984375" customWidth="1"/>
    <col min="39" max="39" width="12.6328125" customWidth="1"/>
    <col min="43" max="43" width="7.54296875" customWidth="1"/>
    <col min="48" max="48" width="8.7265625" customWidth="1"/>
  </cols>
  <sheetData>
    <row r="1" spans="1:60" ht="21.5" x14ac:dyDescent="0.4">
      <c r="A1" s="3">
        <f>1</f>
        <v>1</v>
      </c>
      <c r="B1" s="3">
        <f>A1+1</f>
        <v>2</v>
      </c>
      <c r="C1" s="3">
        <f t="shared" ref="C1:AE1" si="0">B1+1</f>
        <v>3</v>
      </c>
      <c r="D1" s="3">
        <f t="shared" si="0"/>
        <v>4</v>
      </c>
      <c r="E1" s="3">
        <f t="shared" si="0"/>
        <v>5</v>
      </c>
      <c r="F1" s="3">
        <f t="shared" si="0"/>
        <v>6</v>
      </c>
      <c r="G1" s="3">
        <f t="shared" si="0"/>
        <v>7</v>
      </c>
      <c r="H1" s="3">
        <f t="shared" si="0"/>
        <v>8</v>
      </c>
      <c r="I1" s="3">
        <f t="shared" si="0"/>
        <v>9</v>
      </c>
      <c r="J1" s="3">
        <f t="shared" si="0"/>
        <v>10</v>
      </c>
      <c r="K1" s="3">
        <f t="shared" si="0"/>
        <v>11</v>
      </c>
      <c r="L1" s="3">
        <f t="shared" si="0"/>
        <v>12</v>
      </c>
      <c r="M1" s="3">
        <f t="shared" si="0"/>
        <v>13</v>
      </c>
      <c r="N1" s="3">
        <f t="shared" si="0"/>
        <v>14</v>
      </c>
      <c r="O1" s="3">
        <f t="shared" si="0"/>
        <v>15</v>
      </c>
      <c r="P1" s="3">
        <f t="shared" si="0"/>
        <v>16</v>
      </c>
      <c r="Q1" s="3">
        <f t="shared" si="0"/>
        <v>17</v>
      </c>
      <c r="R1" s="3">
        <f t="shared" si="0"/>
        <v>18</v>
      </c>
      <c r="S1" s="3">
        <f t="shared" si="0"/>
        <v>19</v>
      </c>
      <c r="T1" s="3">
        <f t="shared" si="0"/>
        <v>20</v>
      </c>
      <c r="U1" s="3">
        <f t="shared" si="0"/>
        <v>21</v>
      </c>
      <c r="V1" s="3">
        <f t="shared" si="0"/>
        <v>22</v>
      </c>
      <c r="W1" s="3">
        <f t="shared" si="0"/>
        <v>23</v>
      </c>
      <c r="X1" s="3">
        <f t="shared" si="0"/>
        <v>24</v>
      </c>
      <c r="Y1" s="3">
        <f t="shared" si="0"/>
        <v>25</v>
      </c>
      <c r="Z1" s="3">
        <f t="shared" si="0"/>
        <v>26</v>
      </c>
      <c r="AA1" s="3">
        <f t="shared" si="0"/>
        <v>27</v>
      </c>
      <c r="AB1" s="3">
        <f t="shared" si="0"/>
        <v>28</v>
      </c>
      <c r="AC1" s="3">
        <f t="shared" si="0"/>
        <v>29</v>
      </c>
      <c r="AD1" s="3">
        <f t="shared" si="0"/>
        <v>30</v>
      </c>
      <c r="AE1" s="3">
        <f t="shared" si="0"/>
        <v>31</v>
      </c>
    </row>
    <row r="2" spans="1:60" x14ac:dyDescent="0.4">
      <c r="A2" s="29"/>
      <c r="B2" s="33"/>
      <c r="C2" s="33"/>
      <c r="D2" s="33"/>
      <c r="E2" s="33"/>
      <c r="F2" s="33"/>
      <c r="G2" s="33"/>
      <c r="H2" s="33"/>
      <c r="I2" s="33"/>
      <c r="J2" s="33"/>
      <c r="K2" s="33"/>
      <c r="L2" s="33"/>
      <c r="M2" s="33"/>
      <c r="N2" s="33"/>
      <c r="O2" s="33"/>
      <c r="P2" s="33"/>
      <c r="Q2" s="33"/>
      <c r="R2" s="33"/>
      <c r="S2" s="33"/>
      <c r="T2" s="33"/>
      <c r="U2" s="33"/>
      <c r="V2" s="33"/>
      <c r="W2" s="33"/>
      <c r="X2" s="33"/>
      <c r="Y2" s="33"/>
      <c r="Z2" s="33"/>
      <c r="AA2" s="33"/>
      <c r="AB2" s="33"/>
      <c r="AC2" s="33"/>
      <c r="AD2" s="33"/>
      <c r="AE2" s="33"/>
    </row>
    <row r="3" spans="1:60" ht="17" customHeight="1" x14ac:dyDescent="0.4">
      <c r="A3" s="29"/>
      <c r="B3" s="33"/>
      <c r="C3" s="33"/>
      <c r="D3" s="33"/>
      <c r="E3" s="33"/>
      <c r="F3" s="33"/>
      <c r="G3" s="33"/>
      <c r="H3" s="33"/>
      <c r="I3" s="33"/>
      <c r="J3" s="33"/>
      <c r="K3" s="33"/>
      <c r="L3" s="33"/>
      <c r="M3" s="33"/>
      <c r="N3" s="33"/>
      <c r="O3" s="33"/>
      <c r="P3" s="33"/>
      <c r="Q3" s="33"/>
      <c r="R3" s="33"/>
      <c r="S3" s="33"/>
      <c r="T3" s="33"/>
      <c r="U3" s="33"/>
      <c r="V3" s="33"/>
      <c r="W3" s="33"/>
      <c r="X3" s="33"/>
      <c r="Y3" s="33"/>
      <c r="Z3" s="33"/>
      <c r="AA3" s="33"/>
      <c r="AB3" s="33"/>
      <c r="AC3" s="33"/>
      <c r="AD3" s="33"/>
      <c r="AE3" s="33"/>
      <c r="AG3" s="23" t="s">
        <v>3</v>
      </c>
      <c r="AH3" s="23"/>
      <c r="AI3" s="23"/>
      <c r="AJ3" s="23"/>
      <c r="AK3" s="22">
        <v>131700</v>
      </c>
      <c r="AL3" s="22"/>
      <c r="AM3" s="22"/>
      <c r="AN3" s="23" t="s">
        <v>4</v>
      </c>
      <c r="AO3" s="2"/>
      <c r="AP3" s="16" t="s">
        <v>8</v>
      </c>
      <c r="AQ3" s="16"/>
      <c r="AR3" s="17">
        <v>0</v>
      </c>
      <c r="AS3" s="17"/>
      <c r="AT3" s="18" t="s">
        <v>9</v>
      </c>
      <c r="AU3" s="16"/>
      <c r="AV3" s="2"/>
      <c r="AW3" s="15" t="s">
        <v>11</v>
      </c>
      <c r="AX3" s="15"/>
      <c r="AY3" s="15"/>
      <c r="AZ3" s="15"/>
      <c r="BA3" s="15"/>
    </row>
    <row r="4" spans="1:60" ht="17" customHeight="1" x14ac:dyDescent="0.4">
      <c r="A4" s="29"/>
      <c r="B4" s="33"/>
      <c r="C4" s="33"/>
      <c r="D4" s="33"/>
      <c r="E4" s="33"/>
      <c r="F4" s="33"/>
      <c r="G4" s="33"/>
      <c r="H4" s="33"/>
      <c r="I4" s="33"/>
      <c r="J4" s="33"/>
      <c r="K4" s="33"/>
      <c r="L4" s="33"/>
      <c r="M4" s="33"/>
      <c r="N4" s="33"/>
      <c r="O4" s="33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C4" s="33"/>
      <c r="AD4" s="33"/>
      <c r="AE4" s="33"/>
      <c r="AG4" s="23"/>
      <c r="AH4" s="23"/>
      <c r="AI4" s="23"/>
      <c r="AJ4" s="23"/>
      <c r="AK4" s="22"/>
      <c r="AL4" s="22"/>
      <c r="AM4" s="22"/>
      <c r="AN4" s="23"/>
      <c r="AO4" s="2"/>
      <c r="AP4" s="16"/>
      <c r="AQ4" s="16"/>
      <c r="AR4" s="17"/>
      <c r="AS4" s="17"/>
      <c r="AT4" s="16"/>
      <c r="AU4" s="16"/>
      <c r="AV4" s="2"/>
      <c r="AW4" s="15"/>
      <c r="AX4" s="15"/>
      <c r="AY4" s="15"/>
      <c r="AZ4" s="15"/>
      <c r="BA4" s="15"/>
    </row>
    <row r="5" spans="1:60" ht="17" customHeight="1" x14ac:dyDescent="0.4">
      <c r="A5" s="29"/>
      <c r="B5" s="33"/>
      <c r="C5" s="33"/>
      <c r="D5" s="33"/>
      <c r="E5" s="33"/>
      <c r="F5" s="33"/>
      <c r="G5" s="33"/>
      <c r="H5" s="33"/>
      <c r="I5" s="33"/>
      <c r="J5" s="33"/>
      <c r="K5" s="33"/>
      <c r="L5" s="33"/>
      <c r="M5" s="33"/>
      <c r="N5" s="33"/>
      <c r="O5" s="33"/>
      <c r="P5" s="33"/>
      <c r="Q5" s="33"/>
      <c r="R5" s="33"/>
      <c r="S5" s="33"/>
      <c r="T5" s="33"/>
      <c r="U5" s="33"/>
      <c r="V5" s="33"/>
      <c r="W5" s="33"/>
      <c r="X5" s="33"/>
      <c r="Y5" s="33"/>
      <c r="Z5" s="33"/>
      <c r="AA5" s="33"/>
      <c r="AB5" s="33"/>
      <c r="AC5" s="33"/>
      <c r="AD5" s="33"/>
      <c r="AE5" s="33"/>
      <c r="AF5" s="1"/>
      <c r="AG5" s="23"/>
      <c r="AH5" s="23"/>
      <c r="AI5" s="23"/>
      <c r="AJ5" s="23"/>
      <c r="AK5" s="22"/>
      <c r="AL5" s="22"/>
      <c r="AM5" s="22"/>
      <c r="AN5" s="23"/>
      <c r="AO5" s="2"/>
      <c r="AP5" s="16"/>
      <c r="AQ5" s="16"/>
      <c r="AR5" s="17"/>
      <c r="AS5" s="17"/>
      <c r="AT5" s="16"/>
      <c r="AU5" s="16"/>
      <c r="AV5" s="2"/>
      <c r="AW5" s="15"/>
      <c r="AX5" s="15"/>
      <c r="AY5" s="15"/>
      <c r="AZ5" s="15"/>
      <c r="BA5" s="15"/>
    </row>
    <row r="6" spans="1:60" ht="17" customHeight="1" x14ac:dyDescent="0.4">
      <c r="A6" s="29"/>
      <c r="B6" s="33"/>
      <c r="C6" s="33"/>
      <c r="D6" s="33"/>
      <c r="E6" s="33"/>
      <c r="F6" s="33"/>
      <c r="G6" s="33"/>
      <c r="H6" s="33"/>
      <c r="I6" s="33"/>
      <c r="J6" s="33"/>
      <c r="K6" s="33"/>
      <c r="L6" s="33"/>
      <c r="M6" s="33"/>
      <c r="N6" s="33"/>
      <c r="O6" s="33"/>
      <c r="P6" s="33"/>
      <c r="Q6" s="33"/>
      <c r="R6" s="33"/>
      <c r="S6" s="33"/>
      <c r="T6" s="33"/>
      <c r="U6" s="33"/>
      <c r="V6" s="33"/>
      <c r="W6" s="33"/>
      <c r="X6" s="33"/>
      <c r="Y6" s="33"/>
      <c r="Z6" s="33"/>
      <c r="AA6" s="33"/>
      <c r="AB6" s="33"/>
      <c r="AC6" s="33"/>
      <c r="AD6" s="33"/>
      <c r="AE6" s="33"/>
      <c r="AG6" s="23"/>
      <c r="AH6" s="23"/>
      <c r="AI6" s="23"/>
      <c r="AJ6" s="23"/>
      <c r="AK6" s="22"/>
      <c r="AL6" s="22"/>
      <c r="AM6" s="22"/>
      <c r="AN6" s="23"/>
      <c r="AO6" s="2"/>
      <c r="AP6" s="16"/>
      <c r="AQ6" s="16"/>
      <c r="AR6" s="17"/>
      <c r="AS6" s="17"/>
      <c r="AT6" s="16"/>
      <c r="AU6" s="16"/>
      <c r="AV6" s="2"/>
      <c r="AW6" s="2"/>
    </row>
    <row r="7" spans="1:60" ht="17" customHeight="1" x14ac:dyDescent="0.4">
      <c r="A7" s="29"/>
      <c r="B7" s="33"/>
      <c r="C7" s="33"/>
      <c r="D7" s="33"/>
      <c r="E7" s="33"/>
      <c r="F7" s="33"/>
      <c r="G7" s="33"/>
      <c r="H7" s="33"/>
      <c r="I7" s="33"/>
      <c r="J7" s="33"/>
      <c r="K7" s="33"/>
      <c r="L7" s="33"/>
      <c r="M7" s="33"/>
      <c r="N7" s="33"/>
      <c r="O7" s="33"/>
      <c r="P7" s="33"/>
      <c r="Q7" s="33"/>
      <c r="R7" s="33"/>
      <c r="S7" s="33"/>
      <c r="T7" s="33"/>
      <c r="U7" s="33"/>
      <c r="V7" s="33"/>
      <c r="W7" s="33"/>
      <c r="X7" s="33"/>
      <c r="Y7" s="33"/>
      <c r="Z7" s="33"/>
      <c r="AA7" s="33"/>
      <c r="AB7" s="33"/>
      <c r="AC7" s="33"/>
      <c r="AD7" s="33"/>
      <c r="AE7" s="33"/>
      <c r="AF7" s="1"/>
      <c r="AG7" s="24" t="s">
        <v>5</v>
      </c>
      <c r="AH7" s="24"/>
      <c r="AI7" s="24"/>
      <c r="AJ7" s="24"/>
      <c r="AK7" s="25">
        <v>294</v>
      </c>
      <c r="AL7" s="25"/>
      <c r="AM7" s="25"/>
      <c r="AN7" s="24" t="s">
        <v>4</v>
      </c>
      <c r="AO7" s="2"/>
      <c r="AP7" s="2"/>
      <c r="AQ7" s="2"/>
      <c r="AR7" s="2"/>
      <c r="AS7" s="2"/>
      <c r="AT7" s="2"/>
      <c r="AU7" s="2"/>
      <c r="AV7" s="2"/>
      <c r="AW7" s="14" t="s">
        <v>15</v>
      </c>
      <c r="AX7" s="14"/>
      <c r="AY7" s="3">
        <v>1</v>
      </c>
      <c r="AZ7" s="3">
        <f>AY7+1</f>
        <v>2</v>
      </c>
      <c r="BA7" s="3">
        <f t="shared" ref="BA7:BH7" si="1">AZ7+1</f>
        <v>3</v>
      </c>
      <c r="BB7" s="3">
        <f t="shared" si="1"/>
        <v>4</v>
      </c>
      <c r="BC7" s="3">
        <f t="shared" si="1"/>
        <v>5</v>
      </c>
      <c r="BD7" s="3">
        <f t="shared" si="1"/>
        <v>6</v>
      </c>
      <c r="BE7" s="3">
        <f t="shared" si="1"/>
        <v>7</v>
      </c>
      <c r="BF7" s="3">
        <f t="shared" si="1"/>
        <v>8</v>
      </c>
      <c r="BG7" s="3">
        <f>BF7+1</f>
        <v>9</v>
      </c>
      <c r="BH7" s="3">
        <f t="shared" si="1"/>
        <v>10</v>
      </c>
    </row>
    <row r="8" spans="1:60" ht="17" customHeight="1" x14ac:dyDescent="0.4">
      <c r="A8" s="29"/>
      <c r="B8" s="33"/>
      <c r="C8" s="33"/>
      <c r="D8" s="33"/>
      <c r="E8" s="33"/>
      <c r="F8" s="33"/>
      <c r="G8" s="33"/>
      <c r="H8" s="33"/>
      <c r="I8" s="33"/>
      <c r="J8" s="33"/>
      <c r="K8" s="33"/>
      <c r="L8" s="33"/>
      <c r="M8" s="33"/>
      <c r="N8" s="33"/>
      <c r="O8" s="33"/>
      <c r="P8" s="33"/>
      <c r="Q8" s="33"/>
      <c r="R8" s="33"/>
      <c r="S8" s="33"/>
      <c r="T8" s="33"/>
      <c r="U8" s="33"/>
      <c r="V8" s="33"/>
      <c r="W8" s="33"/>
      <c r="X8" s="33"/>
      <c r="Y8" s="33"/>
      <c r="Z8" s="33"/>
      <c r="AA8" s="33"/>
      <c r="AB8" s="33"/>
      <c r="AC8" s="33"/>
      <c r="AD8" s="33"/>
      <c r="AE8" s="33"/>
      <c r="AF8" s="1"/>
      <c r="AG8" s="24"/>
      <c r="AH8" s="24"/>
      <c r="AI8" s="24"/>
      <c r="AJ8" s="24"/>
      <c r="AK8" s="25"/>
      <c r="AL8" s="25"/>
      <c r="AM8" s="25"/>
      <c r="AN8" s="24"/>
      <c r="AO8" s="2"/>
      <c r="AP8" s="2"/>
      <c r="AQ8" s="2"/>
      <c r="AR8" s="2"/>
      <c r="AS8" s="2"/>
      <c r="AT8" s="2"/>
      <c r="AU8" s="2"/>
      <c r="AV8" s="2"/>
      <c r="AW8" s="14"/>
      <c r="AX8" s="14"/>
    </row>
    <row r="9" spans="1:60" ht="17" customHeight="1" x14ac:dyDescent="0.4">
      <c r="A9" s="29"/>
      <c r="B9" s="33"/>
      <c r="C9" s="33"/>
      <c r="D9" s="33"/>
      <c r="E9" s="33"/>
      <c r="F9" s="33"/>
      <c r="G9" s="33"/>
      <c r="H9" s="33"/>
      <c r="I9" s="33"/>
      <c r="J9" s="33"/>
      <c r="K9" s="33"/>
      <c r="L9" s="33"/>
      <c r="M9" s="33"/>
      <c r="N9" s="33"/>
      <c r="O9" s="33"/>
      <c r="P9" s="33"/>
      <c r="Q9" s="33"/>
      <c r="R9" s="33"/>
      <c r="S9" s="33"/>
      <c r="T9" s="33"/>
      <c r="U9" s="33"/>
      <c r="V9" s="33"/>
      <c r="W9" s="33"/>
      <c r="X9" s="33"/>
      <c r="Y9" s="33"/>
      <c r="Z9" s="33"/>
      <c r="AA9" s="33"/>
      <c r="AB9" s="33"/>
      <c r="AC9" s="33"/>
      <c r="AD9" s="33"/>
      <c r="AE9" s="33"/>
      <c r="AF9" s="1"/>
      <c r="AG9" s="24"/>
      <c r="AH9" s="24"/>
      <c r="AI9" s="24"/>
      <c r="AJ9" s="24"/>
      <c r="AK9" s="25"/>
      <c r="AL9" s="25"/>
      <c r="AM9" s="25"/>
      <c r="AN9" s="24"/>
      <c r="AO9" s="2"/>
      <c r="AP9" s="2"/>
      <c r="AQ9" s="2"/>
      <c r="AR9" s="2"/>
      <c r="AS9" s="2"/>
      <c r="AT9" s="2"/>
      <c r="AU9" s="2"/>
      <c r="AV9" s="2"/>
      <c r="AW9" s="14" t="s">
        <v>12</v>
      </c>
      <c r="AX9" s="14"/>
    </row>
    <row r="10" spans="1:60" ht="17" customHeight="1" x14ac:dyDescent="0.4">
      <c r="A10" s="29"/>
      <c r="B10" s="33"/>
      <c r="C10" s="33"/>
      <c r="D10" s="33"/>
      <c r="E10" s="33"/>
      <c r="F10" s="33"/>
      <c r="G10" s="33"/>
      <c r="H10" s="33"/>
      <c r="I10" s="33"/>
      <c r="J10" s="33"/>
      <c r="K10" s="33"/>
      <c r="L10" s="33"/>
      <c r="M10" s="33"/>
      <c r="N10" s="33"/>
      <c r="O10" s="33"/>
      <c r="P10" s="33"/>
      <c r="Q10" s="33"/>
      <c r="R10" s="33"/>
      <c r="S10" s="33"/>
      <c r="T10" s="33"/>
      <c r="U10" s="33"/>
      <c r="V10" s="33"/>
      <c r="W10" s="33"/>
      <c r="X10" s="33"/>
      <c r="Y10" s="33"/>
      <c r="Z10" s="33"/>
      <c r="AA10" s="33"/>
      <c r="AB10" s="33"/>
      <c r="AC10" s="33"/>
      <c r="AD10" s="33"/>
      <c r="AE10" s="33"/>
      <c r="AF10" s="1"/>
      <c r="AG10" s="24"/>
      <c r="AH10" s="24"/>
      <c r="AI10" s="24"/>
      <c r="AJ10" s="24"/>
      <c r="AK10" s="25"/>
      <c r="AL10" s="25"/>
      <c r="AM10" s="25"/>
      <c r="AN10" s="24"/>
      <c r="AO10" s="2"/>
      <c r="AP10" s="2"/>
      <c r="AQ10" s="2"/>
      <c r="AR10" s="2"/>
      <c r="AS10" s="2"/>
      <c r="AT10" s="2"/>
      <c r="AU10" s="2"/>
      <c r="AV10" s="2"/>
      <c r="AW10" s="14"/>
      <c r="AX10" s="14"/>
    </row>
    <row r="11" spans="1:60" ht="17" customHeight="1" x14ac:dyDescent="0.4">
      <c r="A11" s="29"/>
      <c r="B11" s="33"/>
      <c r="C11" s="33"/>
      <c r="D11" s="33"/>
      <c r="E11" s="33"/>
      <c r="F11" s="33"/>
      <c r="G11" s="33"/>
      <c r="H11" s="33"/>
      <c r="I11" s="33"/>
      <c r="J11" s="33"/>
      <c r="K11" s="33"/>
      <c r="L11" s="33"/>
      <c r="M11" s="33"/>
      <c r="N11" s="32"/>
      <c r="O11" s="33"/>
      <c r="P11" s="33"/>
      <c r="Q11" s="33"/>
      <c r="R11" s="33"/>
      <c r="S11" s="33"/>
      <c r="T11" s="33"/>
      <c r="U11" s="33"/>
      <c r="V11" s="33"/>
      <c r="W11" s="33"/>
      <c r="X11" s="33"/>
      <c r="Y11" s="33"/>
      <c r="Z11" s="33"/>
      <c r="AA11" s="33"/>
      <c r="AB11" s="33"/>
      <c r="AC11" s="33"/>
      <c r="AD11" s="33"/>
      <c r="AE11" s="33"/>
      <c r="AF11" s="1"/>
      <c r="AG11" s="20" t="s">
        <v>6</v>
      </c>
      <c r="AH11" s="20"/>
      <c r="AI11" s="20"/>
      <c r="AJ11" s="20"/>
      <c r="AK11" s="28">
        <v>6</v>
      </c>
      <c r="AL11" s="28"/>
      <c r="AM11" s="28"/>
      <c r="AN11" s="20" t="s">
        <v>4</v>
      </c>
      <c r="AO11" s="2"/>
      <c r="AP11" s="2"/>
      <c r="AQ11" s="2"/>
      <c r="AR11" s="2"/>
      <c r="AS11" s="2"/>
      <c r="AT11" s="2"/>
      <c r="AU11" s="2"/>
      <c r="AV11" s="2"/>
      <c r="AW11" s="14" t="s">
        <v>13</v>
      </c>
      <c r="AX11" s="14"/>
    </row>
    <row r="12" spans="1:60" ht="17" customHeight="1" x14ac:dyDescent="0.4">
      <c r="A12" s="29"/>
      <c r="B12" s="33"/>
      <c r="C12" s="33"/>
      <c r="D12" s="33"/>
      <c r="E12" s="33"/>
      <c r="F12" s="33"/>
      <c r="G12" s="33"/>
      <c r="H12" s="33"/>
      <c r="I12" s="33"/>
      <c r="J12" s="33"/>
      <c r="K12" s="33"/>
      <c r="L12" s="33"/>
      <c r="M12" s="33"/>
      <c r="N12" s="33"/>
      <c r="O12" s="33"/>
      <c r="P12" s="33"/>
      <c r="Q12" s="33"/>
      <c r="R12" s="33"/>
      <c r="S12" s="33"/>
      <c r="T12" s="33"/>
      <c r="U12" s="33"/>
      <c r="V12" s="33"/>
      <c r="W12" s="33"/>
      <c r="X12" s="33"/>
      <c r="Y12" s="33"/>
      <c r="Z12" s="33"/>
      <c r="AA12" s="33"/>
      <c r="AB12" s="33"/>
      <c r="AC12" s="33"/>
      <c r="AD12" s="33"/>
      <c r="AE12" s="33"/>
      <c r="AF12" s="1"/>
      <c r="AG12" s="20"/>
      <c r="AH12" s="20"/>
      <c r="AI12" s="20"/>
      <c r="AJ12" s="20"/>
      <c r="AK12" s="28"/>
      <c r="AL12" s="28"/>
      <c r="AM12" s="28"/>
      <c r="AN12" s="20"/>
      <c r="AO12" s="2"/>
      <c r="AP12" s="2"/>
      <c r="AQ12" s="2"/>
      <c r="AR12" s="2"/>
      <c r="AS12" s="2"/>
      <c r="AT12" s="2"/>
      <c r="AU12" s="2"/>
      <c r="AV12" s="2"/>
      <c r="AW12" s="14"/>
      <c r="AX12" s="14"/>
    </row>
    <row r="13" spans="1:60" ht="17" customHeight="1" x14ac:dyDescent="0.4">
      <c r="A13" s="29"/>
      <c r="B13" s="33"/>
      <c r="C13" s="33"/>
      <c r="D13" s="33"/>
      <c r="E13" s="33"/>
      <c r="F13" s="33"/>
      <c r="G13" s="33"/>
      <c r="H13" s="33"/>
      <c r="I13" s="33"/>
      <c r="J13" s="33"/>
      <c r="K13" s="33"/>
      <c r="L13" s="33"/>
      <c r="M13" s="33"/>
      <c r="N13" s="33"/>
      <c r="O13" s="33"/>
      <c r="P13" s="33"/>
      <c r="Q13" s="33"/>
      <c r="R13" s="33"/>
      <c r="S13" s="33"/>
      <c r="T13" s="33"/>
      <c r="U13" s="33"/>
      <c r="V13" s="33"/>
      <c r="W13" s="33"/>
      <c r="X13" s="33"/>
      <c r="Y13" s="33"/>
      <c r="Z13" s="33"/>
      <c r="AA13" s="33"/>
      <c r="AB13" s="33"/>
      <c r="AC13" s="33"/>
      <c r="AD13" s="33"/>
      <c r="AE13" s="33"/>
      <c r="AF13" s="1"/>
      <c r="AG13" s="20"/>
      <c r="AH13" s="20"/>
      <c r="AI13" s="20"/>
      <c r="AJ13" s="20"/>
      <c r="AK13" s="28"/>
      <c r="AL13" s="28"/>
      <c r="AM13" s="28"/>
      <c r="AN13" s="20"/>
      <c r="AO13" s="2"/>
      <c r="AP13" s="2"/>
      <c r="AQ13" s="2"/>
      <c r="AR13" s="2"/>
      <c r="AS13" s="2"/>
      <c r="AT13" s="2"/>
      <c r="AU13" s="2"/>
      <c r="AV13" s="2"/>
      <c r="AW13" s="14" t="s">
        <v>14</v>
      </c>
      <c r="AX13" s="14"/>
    </row>
    <row r="14" spans="1:60" ht="17" customHeight="1" x14ac:dyDescent="0.4">
      <c r="A14" s="29"/>
      <c r="B14" s="33"/>
      <c r="C14" s="33"/>
      <c r="D14" s="33"/>
      <c r="E14" s="33"/>
      <c r="F14" s="33"/>
      <c r="G14" s="33"/>
      <c r="H14" s="33"/>
      <c r="I14" s="33"/>
      <c r="J14" s="33"/>
      <c r="K14" s="33"/>
      <c r="L14" s="33"/>
      <c r="M14" s="33"/>
      <c r="N14" s="33"/>
      <c r="O14" s="33"/>
      <c r="P14" s="33"/>
      <c r="Q14" s="33"/>
      <c r="R14" s="33"/>
      <c r="S14" s="33"/>
      <c r="T14" s="33"/>
      <c r="U14" s="33"/>
      <c r="V14" s="33"/>
      <c r="W14" s="33"/>
      <c r="X14" s="33"/>
      <c r="Y14" s="33"/>
      <c r="Z14" s="33"/>
      <c r="AA14" s="33"/>
      <c r="AB14" s="33"/>
      <c r="AC14" s="33"/>
      <c r="AD14" s="33"/>
      <c r="AE14" s="33"/>
      <c r="AF14" s="1"/>
      <c r="AG14" s="20"/>
      <c r="AH14" s="20"/>
      <c r="AI14" s="20"/>
      <c r="AJ14" s="20"/>
      <c r="AK14" s="28"/>
      <c r="AL14" s="28"/>
      <c r="AM14" s="28"/>
      <c r="AN14" s="20"/>
      <c r="AO14" s="2"/>
      <c r="AP14" s="2"/>
      <c r="AQ14" s="2"/>
      <c r="AR14" s="2"/>
      <c r="AS14" s="2"/>
      <c r="AT14" s="2"/>
      <c r="AU14" s="2"/>
      <c r="AV14" s="2"/>
      <c r="AW14" s="14"/>
      <c r="AX14" s="14"/>
    </row>
    <row r="15" spans="1:60" ht="21.5" x14ac:dyDescent="0.4">
      <c r="A15" s="29"/>
      <c r="B15" s="33"/>
      <c r="C15" s="33"/>
      <c r="D15" s="33"/>
      <c r="E15" s="33"/>
      <c r="F15" s="33"/>
      <c r="G15" s="33"/>
      <c r="H15" s="33"/>
      <c r="I15" s="33"/>
      <c r="J15" s="33"/>
      <c r="K15" s="33"/>
      <c r="L15" s="33"/>
      <c r="M15" s="32"/>
      <c r="N15" s="33"/>
      <c r="O15" s="33"/>
      <c r="P15" s="33"/>
      <c r="Q15" s="33"/>
      <c r="R15" s="33"/>
      <c r="S15" s="33"/>
      <c r="T15" s="33"/>
      <c r="U15" s="33"/>
      <c r="V15" s="33"/>
      <c r="W15" s="33"/>
      <c r="X15" s="33"/>
      <c r="Y15" s="33"/>
      <c r="Z15" s="33"/>
      <c r="AA15" s="33"/>
      <c r="AB15" s="33"/>
      <c r="AC15" s="33"/>
      <c r="AD15" s="33"/>
      <c r="AE15" s="33"/>
      <c r="AF15" s="1"/>
      <c r="AG15" s="1"/>
      <c r="AH15" s="1"/>
      <c r="AI15" s="1"/>
      <c r="AN15" s="2"/>
      <c r="AO15" s="2"/>
      <c r="AP15" s="2"/>
      <c r="AQ15" s="2"/>
      <c r="AR15" s="2"/>
      <c r="AS15" s="2"/>
      <c r="AT15" s="2"/>
      <c r="AU15" s="2"/>
      <c r="AV15" s="2"/>
      <c r="AW15" s="7"/>
      <c r="AX15" s="3"/>
      <c r="AY15" s="3"/>
    </row>
    <row r="16" spans="1:60" ht="17" customHeight="1" x14ac:dyDescent="0.4">
      <c r="A16" s="29"/>
      <c r="B16" s="33"/>
      <c r="C16" s="33"/>
      <c r="D16" s="33"/>
      <c r="E16" s="33"/>
      <c r="F16" s="33"/>
      <c r="G16" s="33"/>
      <c r="H16" s="33"/>
      <c r="I16" s="33"/>
      <c r="J16" s="33"/>
      <c r="K16" s="33"/>
      <c r="L16" s="33"/>
      <c r="M16" s="33"/>
      <c r="N16" s="33"/>
      <c r="O16" s="33"/>
      <c r="P16" s="33"/>
      <c r="Q16" s="33"/>
      <c r="R16" s="33"/>
      <c r="S16" s="33"/>
      <c r="T16" s="33"/>
      <c r="U16" s="33"/>
      <c r="V16" s="33"/>
      <c r="W16" s="33"/>
      <c r="X16" s="33"/>
      <c r="Y16" s="33"/>
      <c r="Z16" s="33"/>
      <c r="AA16" s="33"/>
      <c r="AB16" s="33"/>
      <c r="AC16" s="33"/>
      <c r="AD16" s="33"/>
      <c r="AE16" s="33"/>
      <c r="AG16" s="1"/>
      <c r="AH16" s="1"/>
      <c r="AI16" s="1"/>
      <c r="AN16" s="2"/>
      <c r="AO16" s="2"/>
      <c r="AP16" s="2"/>
      <c r="AQ16" s="2"/>
      <c r="AR16" s="2"/>
      <c r="AS16" s="2"/>
      <c r="AT16" s="2"/>
      <c r="AU16" s="4"/>
      <c r="AV16" s="4"/>
      <c r="AW16" s="7" t="s">
        <v>15</v>
      </c>
      <c r="AX16" s="3">
        <v>0</v>
      </c>
      <c r="AY16" s="3">
        <f>AX16+1</f>
        <v>1</v>
      </c>
      <c r="AZ16" s="3">
        <f t="shared" ref="AZ16:BH16" si="2">AY16+1</f>
        <v>2</v>
      </c>
      <c r="BA16" s="3">
        <f t="shared" si="2"/>
        <v>3</v>
      </c>
      <c r="BB16" s="3">
        <f t="shared" si="2"/>
        <v>4</v>
      </c>
      <c r="BC16" s="3">
        <f t="shared" si="2"/>
        <v>5</v>
      </c>
      <c r="BD16" s="3">
        <f t="shared" si="2"/>
        <v>6</v>
      </c>
      <c r="BE16" s="3">
        <f t="shared" si="2"/>
        <v>7</v>
      </c>
      <c r="BF16" s="3">
        <f t="shared" si="2"/>
        <v>8</v>
      </c>
      <c r="BG16" s="3">
        <f t="shared" si="2"/>
        <v>9</v>
      </c>
      <c r="BH16" s="3">
        <f t="shared" si="2"/>
        <v>10</v>
      </c>
    </row>
    <row r="17" spans="1:60" ht="17" customHeight="1" x14ac:dyDescent="0.4">
      <c r="A17" s="29"/>
      <c r="B17" s="33"/>
      <c r="C17" s="33"/>
      <c r="D17" s="33"/>
      <c r="E17" s="33"/>
      <c r="F17" s="33"/>
      <c r="G17" s="33"/>
      <c r="H17" s="33"/>
      <c r="I17" s="33"/>
      <c r="J17" s="33"/>
      <c r="K17" s="33"/>
      <c r="L17" s="33"/>
      <c r="M17" s="33"/>
      <c r="N17" s="33"/>
      <c r="O17" s="33"/>
      <c r="P17" s="33"/>
      <c r="Q17" s="33"/>
      <c r="R17" s="33"/>
      <c r="S17" s="33"/>
      <c r="T17" s="33"/>
      <c r="U17" s="33"/>
      <c r="V17" s="32"/>
      <c r="W17" s="33"/>
      <c r="X17" s="33"/>
      <c r="Y17" s="33"/>
      <c r="Z17" s="33"/>
      <c r="AA17" s="33"/>
      <c r="AB17" s="33"/>
      <c r="AC17" s="33"/>
      <c r="AD17" s="33"/>
      <c r="AE17" s="33"/>
      <c r="AG17" s="19" t="s">
        <v>0</v>
      </c>
      <c r="AH17" s="19"/>
      <c r="AI17" s="19" t="s">
        <v>27</v>
      </c>
      <c r="AJ17" s="19"/>
      <c r="AK17" s="19"/>
      <c r="AN17" s="2"/>
      <c r="AO17" s="2"/>
      <c r="AP17" s="2"/>
      <c r="AQ17" s="2"/>
      <c r="AR17" s="2"/>
      <c r="AS17" s="2"/>
      <c r="AT17" s="2"/>
      <c r="AU17" s="13" t="s">
        <v>17</v>
      </c>
      <c r="AV17" s="13"/>
      <c r="AW17" s="13"/>
      <c r="AX17" s="8">
        <v>294</v>
      </c>
    </row>
    <row r="18" spans="1:60" ht="17" customHeight="1" x14ac:dyDescent="0.4">
      <c r="A18" s="29"/>
      <c r="B18" s="33"/>
      <c r="C18" s="33"/>
      <c r="D18" s="33"/>
      <c r="E18" s="33"/>
      <c r="F18" s="33"/>
      <c r="G18" s="33"/>
      <c r="H18" s="33"/>
      <c r="I18" s="33"/>
      <c r="J18" s="33"/>
      <c r="K18" s="33"/>
      <c r="L18" s="33"/>
      <c r="M18" s="33"/>
      <c r="N18" s="33"/>
      <c r="O18" s="33"/>
      <c r="P18" s="33"/>
      <c r="Q18" s="33"/>
      <c r="R18" s="33"/>
      <c r="S18" s="33"/>
      <c r="T18" s="33"/>
      <c r="U18" s="33"/>
      <c r="V18" s="33"/>
      <c r="W18" s="33"/>
      <c r="X18" s="33"/>
      <c r="Y18" s="33"/>
      <c r="Z18" s="33"/>
      <c r="AA18" s="33"/>
      <c r="AB18" s="33"/>
      <c r="AC18" s="33"/>
      <c r="AD18" s="33"/>
      <c r="AE18" s="33"/>
      <c r="AG18" s="19"/>
      <c r="AH18" s="19"/>
      <c r="AI18" s="19"/>
      <c r="AJ18" s="19"/>
      <c r="AK18" s="19"/>
      <c r="AU18" s="13"/>
      <c r="AV18" s="13"/>
      <c r="AW18" s="13"/>
      <c r="AX18" s="5"/>
    </row>
    <row r="19" spans="1:60" ht="17" customHeight="1" x14ac:dyDescent="0.4">
      <c r="A19" s="29"/>
      <c r="B19" s="33"/>
      <c r="C19" s="33"/>
      <c r="D19" s="33"/>
      <c r="E19" s="33"/>
      <c r="F19" s="33"/>
      <c r="G19" s="33"/>
      <c r="H19" s="33"/>
      <c r="I19" s="33"/>
      <c r="J19" s="33"/>
      <c r="K19" s="33"/>
      <c r="L19" s="33"/>
      <c r="M19" s="33"/>
      <c r="N19" s="33"/>
      <c r="O19" s="33"/>
      <c r="P19" s="33"/>
      <c r="Q19" s="33"/>
      <c r="R19" s="33"/>
      <c r="S19" s="33"/>
      <c r="T19" s="33"/>
      <c r="U19" s="33"/>
      <c r="V19" s="33"/>
      <c r="W19" s="33"/>
      <c r="X19" s="33"/>
      <c r="Y19" s="33"/>
      <c r="Z19" s="33"/>
      <c r="AA19" s="33"/>
      <c r="AB19" s="33"/>
      <c r="AC19" s="33"/>
      <c r="AD19" s="33"/>
      <c r="AE19" s="33"/>
      <c r="AG19" s="19"/>
      <c r="AH19" s="19"/>
      <c r="AI19" s="19"/>
      <c r="AJ19" s="19"/>
      <c r="AK19" s="19"/>
      <c r="AV19" s="5"/>
      <c r="AW19" s="5"/>
      <c r="AX19" s="5"/>
      <c r="AY19" s="3"/>
    </row>
    <row r="20" spans="1:60" ht="17" customHeight="1" x14ac:dyDescent="0.4">
      <c r="A20" s="29"/>
      <c r="B20" s="33"/>
      <c r="C20" s="33"/>
      <c r="D20" s="33"/>
      <c r="E20" s="33"/>
      <c r="F20" s="33"/>
      <c r="G20" s="33"/>
      <c r="H20" s="33"/>
      <c r="I20" s="33"/>
      <c r="J20" s="33"/>
      <c r="K20" s="33"/>
      <c r="L20" s="33"/>
      <c r="M20" s="33"/>
      <c r="N20" s="33"/>
      <c r="O20" s="33"/>
      <c r="P20" s="33"/>
      <c r="Q20" s="33"/>
      <c r="R20" s="33"/>
      <c r="S20" s="33"/>
      <c r="T20" s="33"/>
      <c r="U20" s="33"/>
      <c r="V20" s="33"/>
      <c r="W20" s="33"/>
      <c r="X20" s="33"/>
      <c r="Y20" s="33"/>
      <c r="Z20" s="33"/>
      <c r="AA20" s="33"/>
      <c r="AB20" s="33"/>
      <c r="AC20" s="33"/>
      <c r="AD20" s="33"/>
      <c r="AE20" s="33"/>
      <c r="AG20" s="19"/>
      <c r="AH20" s="19"/>
      <c r="AI20" s="19"/>
      <c r="AJ20" s="19"/>
      <c r="AK20" s="19"/>
      <c r="AU20" s="5"/>
      <c r="AV20" s="5"/>
      <c r="AW20" s="7" t="s">
        <v>15</v>
      </c>
      <c r="AX20" s="5">
        <v>0</v>
      </c>
      <c r="AY20" s="3">
        <f>AX20+1</f>
        <v>1</v>
      </c>
      <c r="AZ20" s="3">
        <f t="shared" ref="AZ20:BH20" si="3">AY20+1</f>
        <v>2</v>
      </c>
      <c r="BA20" s="3">
        <f t="shared" si="3"/>
        <v>3</v>
      </c>
      <c r="BB20" s="3">
        <f t="shared" si="3"/>
        <v>4</v>
      </c>
      <c r="BC20" s="3">
        <f t="shared" si="3"/>
        <v>5</v>
      </c>
      <c r="BD20" s="3">
        <f t="shared" si="3"/>
        <v>6</v>
      </c>
      <c r="BE20" s="3">
        <f t="shared" si="3"/>
        <v>7</v>
      </c>
      <c r="BF20" s="3">
        <f t="shared" si="3"/>
        <v>8</v>
      </c>
      <c r="BG20" s="3">
        <f t="shared" si="3"/>
        <v>9</v>
      </c>
      <c r="BH20" s="3">
        <f t="shared" si="3"/>
        <v>10</v>
      </c>
    </row>
    <row r="21" spans="1:60" ht="17" customHeight="1" x14ac:dyDescent="0.4">
      <c r="A21" s="29"/>
      <c r="B21" s="33"/>
      <c r="C21" s="33"/>
      <c r="D21" s="33"/>
      <c r="E21" s="33"/>
      <c r="F21" s="33"/>
      <c r="G21" s="33"/>
      <c r="H21" s="33"/>
      <c r="I21" s="33"/>
      <c r="J21" s="33"/>
      <c r="K21" s="33"/>
      <c r="L21" s="33"/>
      <c r="M21" s="33"/>
      <c r="N21" s="33"/>
      <c r="O21" s="33"/>
      <c r="P21" s="33"/>
      <c r="Q21" s="33"/>
      <c r="R21" s="33"/>
      <c r="S21" s="33"/>
      <c r="T21" s="33"/>
      <c r="U21" s="33"/>
      <c r="V21" s="33"/>
      <c r="W21" s="33"/>
      <c r="X21" s="33"/>
      <c r="Y21" s="33"/>
      <c r="Z21" s="33"/>
      <c r="AA21" s="33"/>
      <c r="AB21" s="33"/>
      <c r="AC21" s="33"/>
      <c r="AD21" s="33"/>
      <c r="AE21" s="33"/>
      <c r="AU21" s="13" t="s">
        <v>16</v>
      </c>
      <c r="AV21" s="13"/>
      <c r="AW21" s="13"/>
      <c r="AX21" s="7">
        <v>6</v>
      </c>
    </row>
    <row r="22" spans="1:60" ht="17" customHeight="1" x14ac:dyDescent="0.4">
      <c r="A22" s="29"/>
      <c r="B22" s="33"/>
      <c r="C22" s="33"/>
      <c r="D22" s="33"/>
      <c r="E22" s="33"/>
      <c r="F22" s="33"/>
      <c r="G22" s="33"/>
      <c r="H22" s="33"/>
      <c r="I22" s="33"/>
      <c r="J22" s="33"/>
      <c r="K22" s="33"/>
      <c r="L22" s="33"/>
      <c r="M22" s="33"/>
      <c r="N22" s="33"/>
      <c r="O22" s="33"/>
      <c r="P22" s="33"/>
      <c r="Q22" s="33"/>
      <c r="R22" s="33"/>
      <c r="S22" s="33"/>
      <c r="T22" s="33"/>
      <c r="U22" s="33"/>
      <c r="V22" s="33"/>
      <c r="W22" s="33"/>
      <c r="X22" s="33"/>
      <c r="Y22" s="33"/>
      <c r="Z22" s="33"/>
      <c r="AA22" s="33"/>
      <c r="AB22" s="33"/>
      <c r="AC22" s="33"/>
      <c r="AD22" s="33"/>
      <c r="AE22" s="33"/>
      <c r="AU22" s="13"/>
      <c r="AV22" s="13"/>
      <c r="AW22" s="13"/>
    </row>
    <row r="23" spans="1:60" ht="17" customHeight="1" x14ac:dyDescent="0.4">
      <c r="A23" s="29"/>
      <c r="B23" s="33"/>
      <c r="C23" s="33"/>
      <c r="D23" s="33"/>
      <c r="E23" s="33"/>
      <c r="F23" s="33"/>
      <c r="G23" s="33"/>
      <c r="H23" s="33"/>
      <c r="I23" s="33"/>
      <c r="J23" s="33"/>
      <c r="K23" s="33"/>
      <c r="L23" s="33"/>
      <c r="M23" s="33"/>
      <c r="N23" s="33"/>
      <c r="O23" s="33"/>
      <c r="P23" s="33"/>
      <c r="Q23" s="33"/>
      <c r="R23" s="33"/>
      <c r="S23" s="33"/>
      <c r="T23" s="33"/>
      <c r="U23" s="33"/>
      <c r="V23" s="33"/>
      <c r="W23" s="33"/>
      <c r="X23" s="33"/>
      <c r="Y23" s="33"/>
      <c r="Z23" s="33"/>
      <c r="AA23" s="33"/>
      <c r="AB23" s="33"/>
      <c r="AC23" s="33"/>
      <c r="AD23" s="33"/>
      <c r="AE23" s="33"/>
      <c r="AG23" s="26" t="s">
        <v>25</v>
      </c>
      <c r="AH23" s="26"/>
      <c r="AI23" s="26"/>
      <c r="AJ23" s="26"/>
      <c r="AK23" s="26"/>
      <c r="AL23" s="31">
        <v>1</v>
      </c>
      <c r="AM23" s="31"/>
      <c r="AW23" s="7"/>
      <c r="AX23" s="5"/>
      <c r="AY23" s="3"/>
      <c r="AZ23" s="3"/>
      <c r="BA23" s="3"/>
      <c r="BB23" s="3"/>
      <c r="BC23" s="3"/>
      <c r="BD23" s="3"/>
      <c r="BE23" s="3"/>
      <c r="BF23" s="3"/>
      <c r="BG23" s="3"/>
      <c r="BH23" s="3"/>
    </row>
    <row r="24" spans="1:60" ht="17" customHeight="1" x14ac:dyDescent="0.4">
      <c r="A24" s="29"/>
      <c r="B24" s="33"/>
      <c r="C24" s="33"/>
      <c r="D24" s="33"/>
      <c r="E24" s="33"/>
      <c r="F24" s="33"/>
      <c r="G24" s="33"/>
      <c r="H24" s="33"/>
      <c r="I24" s="33"/>
      <c r="J24" s="33"/>
      <c r="K24" s="33"/>
      <c r="L24" s="33"/>
      <c r="M24" s="33"/>
      <c r="N24" s="33"/>
      <c r="O24" s="33"/>
      <c r="P24" s="33"/>
      <c r="Q24" s="33"/>
      <c r="R24" s="33"/>
      <c r="S24" s="33"/>
      <c r="T24" s="33"/>
      <c r="U24" s="33"/>
      <c r="V24" s="33"/>
      <c r="W24" s="33"/>
      <c r="X24" s="33"/>
      <c r="Y24" s="33"/>
      <c r="Z24" s="33"/>
      <c r="AA24" s="33"/>
      <c r="AB24" s="33"/>
      <c r="AC24" s="33"/>
      <c r="AD24" s="33"/>
      <c r="AE24" s="33"/>
      <c r="AG24" s="26"/>
      <c r="AH24" s="26"/>
      <c r="AI24" s="26"/>
      <c r="AJ24" s="26"/>
      <c r="AK24" s="26"/>
      <c r="AL24" s="31"/>
      <c r="AM24" s="31"/>
      <c r="AU24" s="4"/>
      <c r="AV24" s="4"/>
      <c r="AW24" s="4"/>
    </row>
    <row r="25" spans="1:60" ht="17" customHeight="1" x14ac:dyDescent="0.4">
      <c r="A25" s="29"/>
      <c r="B25" s="33"/>
      <c r="C25" s="33"/>
      <c r="D25" s="33"/>
      <c r="E25" s="33"/>
      <c r="F25" s="33"/>
      <c r="G25" s="33"/>
      <c r="H25" s="33"/>
      <c r="I25" s="33"/>
      <c r="J25" s="33"/>
      <c r="K25" s="33"/>
      <c r="L25" s="33"/>
      <c r="M25" s="33"/>
      <c r="N25" s="33"/>
      <c r="O25" s="33"/>
      <c r="P25" s="33"/>
      <c r="Q25" s="33"/>
      <c r="R25" s="33"/>
      <c r="S25" s="33"/>
      <c r="T25" s="33"/>
      <c r="U25" s="33"/>
      <c r="V25" s="33"/>
      <c r="W25" s="33"/>
      <c r="X25" s="33"/>
      <c r="Y25" s="33"/>
      <c r="Z25" s="33"/>
      <c r="AA25" s="33"/>
      <c r="AB25" s="33"/>
      <c r="AC25" s="33"/>
      <c r="AD25" s="33"/>
      <c r="AE25" s="33"/>
      <c r="AG25" s="26"/>
      <c r="AH25" s="26"/>
      <c r="AI25" s="26"/>
      <c r="AJ25" s="26"/>
      <c r="AK25" s="26"/>
      <c r="AL25" s="31"/>
      <c r="AM25" s="31"/>
      <c r="AU25" s="4"/>
      <c r="AV25" s="4"/>
      <c r="AW25" s="4"/>
    </row>
    <row r="26" spans="1:60" x14ac:dyDescent="0.4">
      <c r="A26" s="29"/>
      <c r="B26" s="33"/>
      <c r="C26" s="33"/>
      <c r="D26" s="33"/>
      <c r="E26" s="33"/>
      <c r="F26" s="33"/>
      <c r="G26" s="33"/>
      <c r="H26" s="33"/>
      <c r="I26" s="33"/>
      <c r="J26" s="33"/>
      <c r="K26" s="33"/>
      <c r="L26" s="33"/>
      <c r="M26" s="33"/>
      <c r="N26" s="33"/>
      <c r="O26" s="33"/>
      <c r="P26" s="33"/>
      <c r="Q26" s="33"/>
      <c r="R26" s="33"/>
      <c r="S26" s="33"/>
      <c r="T26" s="33"/>
      <c r="U26" s="33"/>
      <c r="V26" s="33"/>
      <c r="W26" s="33"/>
      <c r="X26" s="33"/>
      <c r="Y26" s="33"/>
      <c r="Z26" s="33"/>
      <c r="AA26" s="33"/>
      <c r="AB26" s="33"/>
      <c r="AC26" s="33"/>
      <c r="AD26" s="33"/>
      <c r="AE26" s="33"/>
      <c r="AG26" s="9" t="s">
        <v>1</v>
      </c>
      <c r="AH26" s="9"/>
      <c r="AI26" s="9"/>
      <c r="AJ26" s="9"/>
      <c r="AK26" s="9"/>
      <c r="AL26" s="27">
        <v>0.8</v>
      </c>
      <c r="AM26" s="10"/>
    </row>
    <row r="27" spans="1:60" x14ac:dyDescent="0.4">
      <c r="A27" s="29"/>
      <c r="B27" s="33"/>
      <c r="C27" s="33"/>
      <c r="D27" s="33"/>
      <c r="E27" s="33"/>
      <c r="F27" s="33"/>
      <c r="G27" s="33"/>
      <c r="H27" s="33"/>
      <c r="I27" s="33"/>
      <c r="J27" s="33"/>
      <c r="K27" s="33"/>
      <c r="L27" s="33"/>
      <c r="M27" s="33"/>
      <c r="N27" s="33"/>
      <c r="O27" s="33"/>
      <c r="P27" s="33"/>
      <c r="Q27" s="33"/>
      <c r="R27" s="33"/>
      <c r="S27" s="33"/>
      <c r="T27" s="33"/>
      <c r="U27" s="33"/>
      <c r="V27" s="33"/>
      <c r="W27" s="33"/>
      <c r="X27" s="33"/>
      <c r="Y27" s="33"/>
      <c r="Z27" s="33"/>
      <c r="AA27" s="33"/>
      <c r="AB27" s="33"/>
      <c r="AC27" s="33"/>
      <c r="AD27" s="33"/>
      <c r="AE27" s="33"/>
      <c r="AG27" s="9"/>
      <c r="AH27" s="9"/>
      <c r="AI27" s="9"/>
      <c r="AJ27" s="9"/>
      <c r="AK27" s="9"/>
      <c r="AL27" s="10"/>
      <c r="AM27" s="10"/>
    </row>
    <row r="28" spans="1:60" x14ac:dyDescent="0.4">
      <c r="A28" s="29"/>
      <c r="B28" s="33"/>
      <c r="C28" s="33"/>
      <c r="D28" s="33"/>
      <c r="E28" s="33"/>
      <c r="F28" s="33"/>
      <c r="G28" s="33"/>
      <c r="H28" s="33"/>
      <c r="I28" s="33"/>
      <c r="J28" s="33"/>
      <c r="K28" s="33"/>
      <c r="L28" s="33"/>
      <c r="M28" s="33"/>
      <c r="N28" s="33"/>
      <c r="O28" s="33"/>
      <c r="P28" s="33"/>
      <c r="Q28" s="33"/>
      <c r="R28" s="33"/>
      <c r="S28" s="33"/>
      <c r="T28" s="33"/>
      <c r="U28" s="33"/>
      <c r="V28" s="33"/>
      <c r="W28" s="33"/>
      <c r="X28" s="33"/>
      <c r="Y28" s="33"/>
      <c r="Z28" s="33"/>
      <c r="AA28" s="33"/>
      <c r="AB28" s="33"/>
      <c r="AC28" s="33"/>
      <c r="AD28" s="33"/>
      <c r="AE28" s="33"/>
      <c r="AG28" s="9"/>
      <c r="AH28" s="9"/>
      <c r="AI28" s="9"/>
      <c r="AJ28" s="9"/>
      <c r="AK28" s="9"/>
      <c r="AL28" s="10"/>
      <c r="AM28" s="10"/>
    </row>
    <row r="29" spans="1:60" ht="17" customHeight="1" x14ac:dyDescent="0.4">
      <c r="A29" s="29"/>
      <c r="B29" s="33"/>
      <c r="C29" s="33"/>
      <c r="D29" s="33"/>
      <c r="E29" s="33"/>
      <c r="F29" s="33"/>
      <c r="G29" s="33"/>
      <c r="H29" s="33"/>
      <c r="I29" s="33"/>
      <c r="J29" s="33"/>
      <c r="K29" s="33"/>
      <c r="L29" s="33"/>
      <c r="M29" s="33"/>
      <c r="N29" s="33"/>
      <c r="O29" s="33"/>
      <c r="P29" s="33"/>
      <c r="Q29" s="33"/>
      <c r="R29" s="33"/>
      <c r="S29" s="33"/>
      <c r="T29" s="33"/>
      <c r="U29" s="33"/>
      <c r="V29" s="33"/>
      <c r="W29" s="33"/>
      <c r="X29" s="33"/>
      <c r="Y29" s="33"/>
      <c r="Z29" s="33"/>
      <c r="AA29" s="33"/>
      <c r="AB29" s="33"/>
      <c r="AC29" s="33"/>
      <c r="AD29" s="33"/>
      <c r="AE29" s="33"/>
      <c r="AG29" s="9" t="s">
        <v>32</v>
      </c>
      <c r="AH29" s="9"/>
      <c r="AI29" s="9"/>
      <c r="AJ29" s="9"/>
      <c r="AK29" s="9"/>
      <c r="AL29" s="9">
        <v>200</v>
      </c>
      <c r="AM29" s="9"/>
      <c r="AN29" s="9" t="s">
        <v>33</v>
      </c>
      <c r="AO29" s="9" t="s">
        <v>31</v>
      </c>
      <c r="AP29" s="9"/>
      <c r="AQ29" s="10">
        <v>0</v>
      </c>
      <c r="AR29" s="10"/>
      <c r="AS29" s="10"/>
      <c r="AT29" s="9" t="s">
        <v>33</v>
      </c>
    </row>
    <row r="30" spans="1:60" ht="17" customHeight="1" x14ac:dyDescent="0.4">
      <c r="A30" s="29"/>
      <c r="B30" s="33"/>
      <c r="C30" s="33"/>
      <c r="D30" s="33"/>
      <c r="E30" s="33"/>
      <c r="F30" s="33"/>
      <c r="G30" s="33"/>
      <c r="H30" s="33"/>
      <c r="I30" s="33"/>
      <c r="J30" s="33"/>
      <c r="K30" s="33"/>
      <c r="L30" s="33"/>
      <c r="M30" s="33"/>
      <c r="N30" s="33"/>
      <c r="O30" s="33"/>
      <c r="P30" s="33"/>
      <c r="Q30" s="33"/>
      <c r="R30" s="33"/>
      <c r="S30" s="33"/>
      <c r="T30" s="33"/>
      <c r="U30" s="33"/>
      <c r="V30" s="33"/>
      <c r="W30" s="33"/>
      <c r="X30" s="33"/>
      <c r="Y30" s="33"/>
      <c r="Z30" s="33"/>
      <c r="AA30" s="33"/>
      <c r="AB30" s="33"/>
      <c r="AC30" s="33"/>
      <c r="AD30" s="33"/>
      <c r="AE30" s="33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10"/>
      <c r="AR30" s="10"/>
      <c r="AS30" s="10"/>
      <c r="AT30" s="9"/>
    </row>
    <row r="31" spans="1:60" ht="17" customHeight="1" x14ac:dyDescent="0.4">
      <c r="A31" s="29"/>
      <c r="B31" s="33"/>
      <c r="C31" s="33"/>
      <c r="D31" s="33"/>
      <c r="E31" s="33"/>
      <c r="F31" s="33"/>
      <c r="G31" s="33"/>
      <c r="H31" s="33"/>
      <c r="I31" s="33"/>
      <c r="J31" s="33"/>
      <c r="K31" s="33"/>
      <c r="L31" s="33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33"/>
      <c r="X31" s="33"/>
      <c r="Y31" s="33"/>
      <c r="Z31" s="33"/>
      <c r="AA31" s="33"/>
      <c r="AB31" s="33"/>
      <c r="AC31" s="33"/>
      <c r="AD31" s="33"/>
      <c r="AE31" s="33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10"/>
      <c r="AR31" s="10"/>
      <c r="AS31" s="10"/>
      <c r="AT31" s="9"/>
    </row>
    <row r="32" spans="1:60" ht="17" customHeight="1" x14ac:dyDescent="0.4">
      <c r="A32" s="29"/>
      <c r="B32" s="33"/>
      <c r="C32" s="33"/>
      <c r="D32" s="33"/>
      <c r="E32" s="33"/>
      <c r="F32" s="33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G32" s="9" t="s">
        <v>2</v>
      </c>
      <c r="AH32" s="9"/>
      <c r="AI32" s="9"/>
      <c r="AJ32" s="9"/>
      <c r="AK32" s="9"/>
      <c r="AL32" s="9">
        <v>3000</v>
      </c>
      <c r="AM32" s="9"/>
      <c r="AN32" s="9" t="s">
        <v>4</v>
      </c>
      <c r="AO32" s="30" t="s">
        <v>28</v>
      </c>
      <c r="AP32" s="30"/>
      <c r="AQ32" s="10">
        <v>0</v>
      </c>
      <c r="AR32" s="10"/>
      <c r="AS32" s="10"/>
      <c r="AT32" s="9" t="s">
        <v>4</v>
      </c>
    </row>
    <row r="33" spans="1:50" ht="17" customHeight="1" x14ac:dyDescent="0.4">
      <c r="A33" s="29"/>
      <c r="B33" s="33"/>
      <c r="C33" s="33"/>
      <c r="D33" s="33"/>
      <c r="E33" s="33"/>
      <c r="F33" s="33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G33" s="9"/>
      <c r="AH33" s="9"/>
      <c r="AI33" s="9"/>
      <c r="AJ33" s="9"/>
      <c r="AK33" s="9"/>
      <c r="AL33" s="9"/>
      <c r="AM33" s="9"/>
      <c r="AN33" s="9"/>
      <c r="AO33" s="30"/>
      <c r="AP33" s="30"/>
      <c r="AQ33" s="10"/>
      <c r="AR33" s="10"/>
      <c r="AS33" s="10"/>
      <c r="AT33" s="9"/>
    </row>
    <row r="34" spans="1:50" ht="17" customHeight="1" x14ac:dyDescent="0.4">
      <c r="A34" s="29"/>
      <c r="B34" s="33"/>
      <c r="C34" s="33"/>
      <c r="D34" s="33"/>
      <c r="E34" s="33"/>
      <c r="F34" s="33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G34" s="9"/>
      <c r="AH34" s="9"/>
      <c r="AI34" s="9"/>
      <c r="AJ34" s="9"/>
      <c r="AK34" s="9"/>
      <c r="AL34" s="9"/>
      <c r="AM34" s="9"/>
      <c r="AN34" s="9"/>
      <c r="AO34" s="30"/>
      <c r="AP34" s="30"/>
      <c r="AQ34" s="10"/>
      <c r="AR34" s="10"/>
      <c r="AS34" s="10"/>
      <c r="AT34" s="9"/>
    </row>
    <row r="35" spans="1:50" ht="17" customHeight="1" x14ac:dyDescent="0.4">
      <c r="A35" s="29"/>
      <c r="B35" s="33"/>
      <c r="C35" s="33"/>
      <c r="D35" s="33"/>
      <c r="E35" s="33"/>
      <c r="F35" s="33"/>
      <c r="G35" s="33"/>
      <c r="H35" s="33"/>
      <c r="I35" s="33"/>
      <c r="J35" s="33"/>
      <c r="K35" s="33"/>
      <c r="L35" s="33"/>
      <c r="M35" s="33"/>
      <c r="N35" s="33"/>
      <c r="O35" s="33"/>
      <c r="P35" s="33"/>
      <c r="Q35" s="33"/>
      <c r="R35" s="33"/>
      <c r="S35" s="33"/>
      <c r="T35" s="33"/>
      <c r="U35" s="33"/>
      <c r="V35" s="33"/>
      <c r="W35" s="33"/>
      <c r="X35" s="33"/>
      <c r="Y35" s="33"/>
      <c r="Z35" s="33"/>
      <c r="AA35" s="33"/>
      <c r="AB35" s="33"/>
      <c r="AC35" s="33"/>
      <c r="AD35" s="33"/>
      <c r="AE35" s="33"/>
      <c r="AG35" s="9" t="s">
        <v>23</v>
      </c>
      <c r="AH35" s="9"/>
      <c r="AI35" s="9"/>
      <c r="AJ35" s="9"/>
      <c r="AK35" s="9"/>
      <c r="AL35" s="21">
        <v>294</v>
      </c>
      <c r="AM35" s="21"/>
      <c r="AN35" s="9" t="s">
        <v>4</v>
      </c>
      <c r="AO35" s="10" t="s">
        <v>26</v>
      </c>
      <c r="AP35" s="9"/>
      <c r="AQ35" s="9">
        <v>0</v>
      </c>
      <c r="AR35" s="9"/>
      <c r="AS35" s="9"/>
      <c r="AT35" s="9" t="s">
        <v>4</v>
      </c>
    </row>
    <row r="36" spans="1:50" ht="17" customHeight="1" x14ac:dyDescent="0.4">
      <c r="A36" s="29"/>
      <c r="B36" s="33"/>
      <c r="C36" s="33"/>
      <c r="D36" s="33"/>
      <c r="E36" s="33"/>
      <c r="F36" s="33"/>
      <c r="G36" s="33"/>
      <c r="H36" s="33"/>
      <c r="I36" s="33"/>
      <c r="J36" s="33"/>
      <c r="K36" s="33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  <c r="X36" s="33"/>
      <c r="Y36" s="33"/>
      <c r="Z36" s="33"/>
      <c r="AA36" s="33"/>
      <c r="AB36" s="33"/>
      <c r="AC36" s="33"/>
      <c r="AD36" s="33"/>
      <c r="AE36" s="33"/>
      <c r="AG36" s="9"/>
      <c r="AH36" s="9"/>
      <c r="AI36" s="9"/>
      <c r="AJ36" s="9"/>
      <c r="AK36" s="9"/>
      <c r="AL36" s="21"/>
      <c r="AM36" s="21"/>
      <c r="AN36" s="9"/>
      <c r="AO36" s="9"/>
      <c r="AP36" s="9"/>
      <c r="AQ36" s="9"/>
      <c r="AR36" s="9"/>
      <c r="AS36" s="9"/>
      <c r="AT36" s="9"/>
    </row>
    <row r="37" spans="1:50" ht="17" customHeight="1" x14ac:dyDescent="0.4">
      <c r="A37" s="29"/>
      <c r="B37" s="33"/>
      <c r="C37" s="33"/>
      <c r="D37" s="33"/>
      <c r="E37" s="33"/>
      <c r="F37" s="33"/>
      <c r="G37" s="33"/>
      <c r="H37" s="33"/>
      <c r="I37" s="33"/>
      <c r="J37" s="33"/>
      <c r="K37" s="33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  <c r="X37" s="33"/>
      <c r="Y37" s="33"/>
      <c r="Z37" s="33"/>
      <c r="AA37" s="33"/>
      <c r="AB37" s="33"/>
      <c r="AC37" s="33"/>
      <c r="AD37" s="33"/>
      <c r="AE37" s="33"/>
      <c r="AG37" s="9"/>
      <c r="AH37" s="9"/>
      <c r="AI37" s="9"/>
      <c r="AJ37" s="9"/>
      <c r="AK37" s="9"/>
      <c r="AL37" s="21"/>
      <c r="AM37" s="21"/>
      <c r="AN37" s="9"/>
      <c r="AO37" s="9"/>
      <c r="AP37" s="9"/>
      <c r="AQ37" s="9"/>
      <c r="AR37" s="9"/>
      <c r="AS37" s="9"/>
      <c r="AT37" s="9"/>
    </row>
    <row r="38" spans="1:50" ht="17" customHeight="1" x14ac:dyDescent="0.4">
      <c r="A38" s="29"/>
      <c r="B38" s="33"/>
      <c r="C38" s="33"/>
      <c r="D38" s="33"/>
      <c r="E38" s="33"/>
      <c r="F38" s="33"/>
      <c r="G38" s="33"/>
      <c r="H38" s="33"/>
      <c r="I38" s="33"/>
      <c r="J38" s="33"/>
      <c r="K38" s="33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33"/>
      <c r="X38" s="33"/>
      <c r="Y38" s="33"/>
      <c r="Z38" s="33"/>
      <c r="AA38" s="33"/>
      <c r="AB38" s="33"/>
      <c r="AC38" s="33"/>
      <c r="AD38" s="33"/>
      <c r="AE38" s="33"/>
      <c r="AG38" s="9" t="s">
        <v>24</v>
      </c>
      <c r="AH38" s="9"/>
      <c r="AI38" s="9"/>
      <c r="AJ38" s="9"/>
      <c r="AK38" s="9"/>
      <c r="AL38" s="11">
        <v>9.8000000000000004E-2</v>
      </c>
      <c r="AM38" s="11"/>
    </row>
    <row r="39" spans="1:50" ht="17" customHeight="1" x14ac:dyDescent="0.4">
      <c r="A39" s="29"/>
      <c r="B39" s="33"/>
      <c r="C39" s="33"/>
      <c r="D39" s="33"/>
      <c r="E39" s="33"/>
      <c r="F39" s="33"/>
      <c r="G39" s="33"/>
      <c r="H39" s="33"/>
      <c r="I39" s="33"/>
      <c r="J39" s="33"/>
      <c r="K39" s="33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33"/>
      <c r="X39" s="33"/>
      <c r="Y39" s="33"/>
      <c r="Z39" s="33"/>
      <c r="AA39" s="33"/>
      <c r="AB39" s="33"/>
      <c r="AC39" s="33"/>
      <c r="AD39" s="33"/>
      <c r="AE39" s="33"/>
      <c r="AG39" s="9"/>
      <c r="AH39" s="9"/>
      <c r="AI39" s="9"/>
      <c r="AJ39" s="9"/>
      <c r="AK39" s="9"/>
      <c r="AL39" s="11"/>
      <c r="AM39" s="11"/>
    </row>
    <row r="40" spans="1:50" ht="17" customHeight="1" x14ac:dyDescent="0.4">
      <c r="A40" s="29"/>
      <c r="B40" s="33"/>
      <c r="C40" s="33"/>
      <c r="D40" s="33"/>
      <c r="E40" s="33"/>
      <c r="F40" s="33"/>
      <c r="G40" s="33"/>
      <c r="H40" s="33"/>
      <c r="I40" s="33"/>
      <c r="J40" s="33"/>
      <c r="K40" s="33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  <c r="X40" s="33"/>
      <c r="Y40" s="33"/>
      <c r="Z40" s="33"/>
      <c r="AA40" s="33"/>
      <c r="AB40" s="33"/>
      <c r="AC40" s="33"/>
      <c r="AD40" s="33"/>
      <c r="AE40" s="33"/>
      <c r="AG40" s="9"/>
      <c r="AH40" s="9"/>
      <c r="AI40" s="9"/>
      <c r="AJ40" s="9"/>
      <c r="AK40" s="9"/>
      <c r="AL40" s="11"/>
      <c r="AM40" s="11"/>
      <c r="AR40" t="s">
        <v>10</v>
      </c>
    </row>
    <row r="41" spans="1:50" ht="17" customHeight="1" x14ac:dyDescent="0.4">
      <c r="A41" s="29"/>
      <c r="B41" s="33"/>
      <c r="C41" s="33"/>
      <c r="D41" s="33"/>
      <c r="E41" s="33"/>
      <c r="F41" s="33"/>
      <c r="G41" s="33"/>
      <c r="H41" s="33"/>
      <c r="I41" s="33"/>
      <c r="J41" s="33"/>
      <c r="K41" s="33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  <c r="X41" s="33"/>
      <c r="Y41" s="33"/>
      <c r="Z41" s="33"/>
      <c r="AA41" s="33"/>
      <c r="AB41" s="33"/>
      <c r="AC41" s="33"/>
      <c r="AD41" s="33"/>
      <c r="AE41" s="33"/>
      <c r="AG41" s="9" t="s">
        <v>22</v>
      </c>
      <c r="AH41" s="9"/>
      <c r="AI41" s="9"/>
      <c r="AJ41" s="9"/>
      <c r="AK41" s="9"/>
      <c r="AL41" s="12">
        <v>1</v>
      </c>
      <c r="AM41" s="9"/>
      <c r="AO41" s="10" t="s">
        <v>29</v>
      </c>
      <c r="AP41" s="9"/>
      <c r="AQ41" s="9"/>
      <c r="AR41" s="9"/>
      <c r="AS41" s="10"/>
      <c r="AT41" s="10"/>
      <c r="AU41" s="10"/>
      <c r="AV41" s="10"/>
      <c r="AW41" s="10"/>
      <c r="AX41" s="9" t="s">
        <v>30</v>
      </c>
    </row>
    <row r="42" spans="1:50" ht="17" customHeight="1" x14ac:dyDescent="0.4">
      <c r="A42" s="29"/>
      <c r="B42" s="33"/>
      <c r="C42" s="33"/>
      <c r="D42" s="33"/>
      <c r="E42" s="33"/>
      <c r="F42" s="33"/>
      <c r="G42" s="33"/>
      <c r="H42" s="33"/>
      <c r="I42" s="33"/>
      <c r="J42" s="33"/>
      <c r="K42" s="33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  <c r="X42" s="33"/>
      <c r="Y42" s="33"/>
      <c r="Z42" s="33"/>
      <c r="AA42" s="33"/>
      <c r="AB42" s="33"/>
      <c r="AC42" s="33"/>
      <c r="AD42" s="33"/>
      <c r="AE42" s="33"/>
      <c r="AG42" s="9"/>
      <c r="AH42" s="9"/>
      <c r="AI42" s="9"/>
      <c r="AJ42" s="9"/>
      <c r="AK42" s="9"/>
      <c r="AL42" s="9"/>
      <c r="AM42" s="9"/>
      <c r="AO42" s="9"/>
      <c r="AP42" s="9"/>
      <c r="AQ42" s="9"/>
      <c r="AR42" s="9"/>
      <c r="AS42" s="10"/>
      <c r="AT42" s="10"/>
      <c r="AU42" s="10"/>
      <c r="AV42" s="10"/>
      <c r="AW42" s="10"/>
      <c r="AX42" s="9"/>
    </row>
    <row r="43" spans="1:50" x14ac:dyDescent="0.4">
      <c r="A43" s="29"/>
      <c r="B43" s="33"/>
      <c r="C43" s="33"/>
      <c r="D43" s="33"/>
      <c r="E43" s="33"/>
      <c r="F43" s="33"/>
      <c r="G43" s="33"/>
      <c r="H43" s="33"/>
      <c r="I43" s="33"/>
      <c r="J43" s="33"/>
      <c r="K43" s="33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  <c r="X43" s="33"/>
      <c r="Y43" s="33"/>
      <c r="Z43" s="33"/>
      <c r="AA43" s="33"/>
      <c r="AB43" s="33"/>
      <c r="AC43" s="33"/>
      <c r="AD43" s="33"/>
      <c r="AE43" s="33"/>
      <c r="AG43" s="9"/>
      <c r="AH43" s="9"/>
      <c r="AI43" s="9"/>
      <c r="AJ43" s="9"/>
      <c r="AK43" s="9"/>
      <c r="AL43" s="9"/>
      <c r="AM43" s="9"/>
      <c r="AO43" s="9"/>
      <c r="AP43" s="9"/>
      <c r="AQ43" s="9"/>
      <c r="AR43" s="9"/>
      <c r="AS43" s="10"/>
      <c r="AT43" s="10"/>
      <c r="AU43" s="10"/>
      <c r="AV43" s="10"/>
      <c r="AW43" s="10"/>
      <c r="AX43" s="9"/>
    </row>
    <row r="44" spans="1:50" x14ac:dyDescent="0.4">
      <c r="A44" s="29"/>
      <c r="B44" s="33"/>
      <c r="C44" s="33"/>
      <c r="D44" s="33"/>
      <c r="E44" s="33"/>
      <c r="F44" s="33"/>
      <c r="G44" s="33"/>
      <c r="H44" s="33"/>
      <c r="I44" s="33"/>
      <c r="J44" s="33"/>
      <c r="K44" s="33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  <c r="X44" s="33"/>
      <c r="Y44" s="33"/>
      <c r="Z44" s="33"/>
      <c r="AA44" s="33"/>
      <c r="AB44" s="33"/>
      <c r="AC44" s="33"/>
      <c r="AD44" s="33"/>
      <c r="AE44" s="33"/>
    </row>
    <row r="45" spans="1:50" x14ac:dyDescent="0.4">
      <c r="A45" s="29"/>
      <c r="B45" s="33"/>
      <c r="C45" s="33"/>
      <c r="D45" s="33"/>
      <c r="E45" s="33"/>
      <c r="F45" s="33"/>
      <c r="G45" s="33"/>
      <c r="H45" s="33"/>
      <c r="I45" s="33"/>
      <c r="J45" s="33"/>
      <c r="K45" s="33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  <c r="X45" s="33"/>
      <c r="Y45" s="33"/>
      <c r="Z45" s="33"/>
      <c r="AA45" s="33"/>
      <c r="AB45" s="33"/>
      <c r="AC45" s="33"/>
      <c r="AD45" s="33"/>
      <c r="AE45" s="33"/>
    </row>
    <row r="46" spans="1:50" x14ac:dyDescent="0.4"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</row>
    <row r="47" spans="1:50" x14ac:dyDescent="0.4"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</row>
    <row r="48" spans="1:50" x14ac:dyDescent="0.4"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</row>
    <row r="49" spans="7:26" x14ac:dyDescent="0.4"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</row>
    <row r="50" spans="7:26" x14ac:dyDescent="0.4">
      <c r="Z50" s="6"/>
    </row>
  </sheetData>
  <dataConsolidate/>
  <mergeCells count="50">
    <mergeCell ref="AX41:AX43"/>
    <mergeCell ref="AN29:AN31"/>
    <mergeCell ref="AO29:AP31"/>
    <mergeCell ref="AQ29:AS31"/>
    <mergeCell ref="AT29:AT31"/>
    <mergeCell ref="AT32:AT34"/>
    <mergeCell ref="AQ32:AS34"/>
    <mergeCell ref="AO32:AP34"/>
    <mergeCell ref="AO41:AR43"/>
    <mergeCell ref="AS41:AW43"/>
    <mergeCell ref="AG32:AK34"/>
    <mergeCell ref="AG35:AK37"/>
    <mergeCell ref="AK3:AM6"/>
    <mergeCell ref="AN3:AN6"/>
    <mergeCell ref="AG7:AJ10"/>
    <mergeCell ref="AK7:AM10"/>
    <mergeCell ref="AG23:AK25"/>
    <mergeCell ref="AL23:AM25"/>
    <mergeCell ref="AL26:AM28"/>
    <mergeCell ref="AG26:AK28"/>
    <mergeCell ref="AG29:AK31"/>
    <mergeCell ref="AL29:AM31"/>
    <mergeCell ref="AG3:AJ6"/>
    <mergeCell ref="AN7:AN10"/>
    <mergeCell ref="AG11:AJ14"/>
    <mergeCell ref="AK11:AM14"/>
    <mergeCell ref="AL32:AM34"/>
    <mergeCell ref="AN32:AN34"/>
    <mergeCell ref="AL35:AM37"/>
    <mergeCell ref="AN35:AN37"/>
    <mergeCell ref="AP3:AQ6"/>
    <mergeCell ref="AR3:AS6"/>
    <mergeCell ref="AT3:AU6"/>
    <mergeCell ref="AG17:AH20"/>
    <mergeCell ref="AI17:AK20"/>
    <mergeCell ref="AN11:AN14"/>
    <mergeCell ref="AU21:AW22"/>
    <mergeCell ref="AU17:AW18"/>
    <mergeCell ref="AW11:AX12"/>
    <mergeCell ref="AW13:AX14"/>
    <mergeCell ref="AW3:BA5"/>
    <mergeCell ref="AW7:AX8"/>
    <mergeCell ref="AW9:AX10"/>
    <mergeCell ref="AT35:AT37"/>
    <mergeCell ref="AO35:AP37"/>
    <mergeCell ref="AQ35:AS37"/>
    <mergeCell ref="AG38:AK40"/>
    <mergeCell ref="AG41:AK43"/>
    <mergeCell ref="AL38:AM40"/>
    <mergeCell ref="AL41:AM43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工作表1.GAME_create">
                <anchor moveWithCells="1" sizeWithCells="1">
                  <from>
                    <xdr:col>56</xdr:col>
                    <xdr:colOff>419100</xdr:colOff>
                    <xdr:row>38</xdr:row>
                    <xdr:rowOff>158750</xdr:rowOff>
                  </from>
                  <to>
                    <xdr:col>61</xdr:col>
                    <xdr:colOff>317500</xdr:colOff>
                    <xdr:row>43</xdr:row>
                    <xdr:rowOff>158750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工作表1.GAME_start">
                <anchor moveWithCells="1" sizeWithCells="1">
                  <from>
                    <xdr:col>50</xdr:col>
                    <xdr:colOff>527050</xdr:colOff>
                    <xdr:row>39</xdr:row>
                    <xdr:rowOff>19050</xdr:rowOff>
                  </from>
                  <to>
                    <xdr:col>56</xdr:col>
                    <xdr:colOff>196850</xdr:colOff>
                    <xdr:row>43</xdr:row>
                    <xdr:rowOff>158750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1A96922-9336-427F-AB70-25D85564F5A7}">
          <x14:formula1>
            <xm:f>清單表!$A$1:$A$5</xm:f>
          </x14:formula1>
          <xm:sqref>AI17:AK20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F9AC73-D74E-4209-BB46-F236C05AAE5C}">
  <sheetPr codeName="工作表2"/>
  <dimension ref="A1:A5"/>
  <sheetViews>
    <sheetView workbookViewId="0"/>
  </sheetViews>
  <sheetFormatPr defaultRowHeight="17" x14ac:dyDescent="0.4"/>
  <cols>
    <col min="1" max="1" width="14.1796875" customWidth="1"/>
  </cols>
  <sheetData>
    <row r="1" spans="1:1" x14ac:dyDescent="0.4">
      <c r="A1" t="s">
        <v>18</v>
      </c>
    </row>
    <row r="2" spans="1:1" x14ac:dyDescent="0.4">
      <c r="A2" t="s">
        <v>7</v>
      </c>
    </row>
    <row r="3" spans="1:1" x14ac:dyDescent="0.4">
      <c r="A3" t="s">
        <v>19</v>
      </c>
    </row>
    <row r="4" spans="1:1" x14ac:dyDescent="0.4">
      <c r="A4" t="s">
        <v>21</v>
      </c>
    </row>
    <row r="5" spans="1:1" x14ac:dyDescent="0.4">
      <c r="A5" t="s">
        <v>20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遊戲介紹</vt:lpstr>
      <vt:lpstr>covid-19模擬遊戲</vt:lpstr>
      <vt:lpstr>清單表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2021-06-07T12:28:40Z</dcterms:created>
  <dcterms:modified xsi:type="dcterms:W3CDTF">2021-06-13T12:23:11Z</dcterms:modified>
</cp:coreProperties>
</file>